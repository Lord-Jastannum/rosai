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gazal\Downloads\"/>
    </mc:Choice>
  </mc:AlternateContent>
  <xr:revisionPtr revIDLastSave="0" documentId="13_ncr:1_{B58E05B3-43A9-4A67-A8D8-A6201D9CF10A}" xr6:coauthVersionLast="47" xr6:coauthVersionMax="47" xr10:uidLastSave="{00000000-0000-0000-0000-000000000000}"/>
  <bookViews>
    <workbookView xWindow="-108" yWindow="-108" windowWidth="23256" windowHeight="12456" tabRatio="845" xr2:uid="{00000000-000D-0000-FFFF-FFFF00000000}"/>
  </bookViews>
  <sheets>
    <sheet name="Clients" sheetId="2" r:id="rId1"/>
    <sheet name="Sheet2" sheetId="38" state="hidden" r:id="rId2"/>
    <sheet name="Restaurants" sheetId="1" r:id="rId3"/>
    <sheet name="Subscriptions" sheetId="25" r:id="rId4"/>
    <sheet name="Users" sheetId="3" r:id="rId5"/>
    <sheet name="Cash_Up" sheetId="11" r:id="rId6"/>
    <sheet name="Roles" sheetId="7" r:id="rId7"/>
    <sheet name="Departments" sheetId="9" r:id="rId8"/>
    <sheet name="Countries" sheetId="5" r:id="rId9"/>
    <sheet name="Currencies" sheetId="6" r:id="rId10"/>
    <sheet name="primary_contact" sheetId="10" state="hidden" r:id="rId11"/>
    <sheet name="TaxInfo" sheetId="34" r:id="rId12"/>
    <sheet name="Sales" sheetId="15" r:id="rId13"/>
    <sheet name="Expenses" sheetId="19" r:id="rId14"/>
    <sheet name="Cashup_Note" sheetId="14" state="hidden" r:id="rId15"/>
    <sheet name="Banking_Info" sheetId="12" r:id="rId16"/>
    <sheet name="CashnPDQ" sheetId="13" state="hidden" r:id="rId17"/>
    <sheet name="Wage_Advance" sheetId="17" state="hidden" r:id="rId18"/>
    <sheet name="pdqmachines" sheetId="21" state="hidden" r:id="rId19"/>
    <sheet name="Deliveries" sheetId="18" r:id="rId20"/>
    <sheet name="Orders" sheetId="31" r:id="rId21"/>
  </sheets>
  <definedNames>
    <definedName name="_xlnm._FilterDatabase" localSheetId="15" hidden="1">Banking_Info!$A$4:$H$122</definedName>
    <definedName name="_xlnm._FilterDatabase" localSheetId="5" hidden="1">Cash_Up!$I$4:$L$104</definedName>
    <definedName name="_xlnm._FilterDatabase" localSheetId="19" hidden="1">Deliveries!$A$1:$G$110</definedName>
    <definedName name="_xlnm._FilterDatabase" localSheetId="20" hidden="1">Orders!$A$4:$M$115</definedName>
    <definedName name="_xlnm._FilterDatabase" localSheetId="2" hidden="1">Restaurants!$A$11:$I$105</definedName>
    <definedName name="_xlnm._FilterDatabase" localSheetId="12" hidden="1">Sales!$A$4:$H$115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1" l="1"/>
  <c r="I5" i="11"/>
  <c r="I70" i="31"/>
  <c r="K70" i="31" s="1"/>
  <c r="I69" i="31"/>
  <c r="K69" i="31" s="1"/>
  <c r="I68" i="31"/>
  <c r="K68" i="31" s="1"/>
  <c r="L68" i="31" s="1"/>
  <c r="I67" i="31"/>
  <c r="K67" i="31" s="1"/>
  <c r="L67" i="31" s="1"/>
  <c r="I66" i="31"/>
  <c r="K66" i="31" s="1"/>
  <c r="I65" i="31"/>
  <c r="K65" i="31" s="1"/>
  <c r="I64" i="31"/>
  <c r="K64" i="31" s="1"/>
  <c r="L64" i="31" s="1"/>
  <c r="I63" i="31"/>
  <c r="K63" i="31" s="1"/>
  <c r="I62" i="31"/>
  <c r="K62" i="31" s="1"/>
  <c r="I61" i="31"/>
  <c r="K61" i="31" s="1"/>
  <c r="I60" i="31"/>
  <c r="K60" i="31" s="1"/>
  <c r="L60" i="31" s="1"/>
  <c r="I59" i="31"/>
  <c r="K59" i="31" s="1"/>
  <c r="I58" i="31"/>
  <c r="K58" i="31" s="1"/>
  <c r="I57" i="31"/>
  <c r="K57" i="31" s="1"/>
  <c r="I56" i="31"/>
  <c r="K56" i="31" s="1"/>
  <c r="L56" i="31" s="1"/>
  <c r="I55" i="31"/>
  <c r="K55" i="31" s="1"/>
  <c r="I54" i="31"/>
  <c r="K54" i="31" s="1"/>
  <c r="I53" i="31"/>
  <c r="K53" i="31" s="1"/>
  <c r="I52" i="31"/>
  <c r="K52" i="31" s="1"/>
  <c r="L52" i="31" s="1"/>
  <c r="I51" i="31"/>
  <c r="K51" i="31" s="1"/>
  <c r="L51" i="31" s="1"/>
  <c r="I50" i="31"/>
  <c r="K50" i="31" s="1"/>
  <c r="I49" i="31"/>
  <c r="K49" i="31" s="1"/>
  <c r="I48" i="31"/>
  <c r="K48" i="31" s="1"/>
  <c r="I47" i="31"/>
  <c r="K47" i="31" s="1"/>
  <c r="I46" i="31"/>
  <c r="K46" i="31" s="1"/>
  <c r="I45" i="31"/>
  <c r="K45" i="31" s="1"/>
  <c r="I44" i="31"/>
  <c r="K44" i="31" s="1"/>
  <c r="I43" i="31"/>
  <c r="K43" i="31" s="1"/>
  <c r="I42" i="31"/>
  <c r="K42" i="31" s="1"/>
  <c r="I41" i="31"/>
  <c r="K41" i="31" s="1"/>
  <c r="I40" i="31"/>
  <c r="K40" i="31" s="1"/>
  <c r="I39" i="31"/>
  <c r="K39" i="31" s="1"/>
  <c r="I38" i="31"/>
  <c r="K38" i="31" s="1"/>
  <c r="I37" i="31"/>
  <c r="K37" i="31" s="1"/>
  <c r="I19" i="31"/>
  <c r="K19" i="31" s="1"/>
  <c r="L19" i="31" s="1"/>
  <c r="I18" i="31"/>
  <c r="K18" i="31" s="1"/>
  <c r="I17" i="31"/>
  <c r="K17" i="31" s="1"/>
  <c r="L17" i="31" s="1"/>
  <c r="I16" i="31"/>
  <c r="K16" i="31" s="1"/>
  <c r="I15" i="31"/>
  <c r="K15" i="31" s="1"/>
  <c r="L15" i="31" s="1"/>
  <c r="I14" i="31"/>
  <c r="K14" i="31" s="1"/>
  <c r="I13" i="31"/>
  <c r="K13" i="31" s="1"/>
  <c r="I12" i="31"/>
  <c r="K12" i="31" s="1"/>
  <c r="I11" i="31"/>
  <c r="K11" i="31" s="1"/>
  <c r="I10" i="31"/>
  <c r="K10" i="31" s="1"/>
  <c r="I9" i="31"/>
  <c r="K9" i="31" s="1"/>
  <c r="L9" i="31" s="1"/>
  <c r="I8" i="31"/>
  <c r="K8" i="31" s="1"/>
  <c r="I7" i="31"/>
  <c r="K7" i="31" s="1"/>
  <c r="I6" i="31"/>
  <c r="K6" i="31" s="1"/>
  <c r="I5" i="31"/>
  <c r="K5" i="31" s="1"/>
  <c r="J115" i="31"/>
  <c r="K115" i="31" s="1"/>
  <c r="L115" i="31" s="1"/>
  <c r="J114" i="31"/>
  <c r="K114" i="31" s="1"/>
  <c r="J113" i="31"/>
  <c r="K113" i="31" s="1"/>
  <c r="J112" i="31"/>
  <c r="K112" i="31" s="1"/>
  <c r="L112" i="31" s="1"/>
  <c r="J111" i="31"/>
  <c r="K111" i="31" s="1"/>
  <c r="L111" i="31" s="1"/>
  <c r="J110" i="31"/>
  <c r="K110" i="31" s="1"/>
  <c r="J109" i="31"/>
  <c r="K109" i="31" s="1"/>
  <c r="J108" i="31"/>
  <c r="K108" i="31" s="1"/>
  <c r="L108" i="31" s="1"/>
  <c r="J107" i="31"/>
  <c r="K107" i="31" s="1"/>
  <c r="L107" i="31" s="1"/>
  <c r="J106" i="31"/>
  <c r="K106" i="31" s="1"/>
  <c r="J105" i="31"/>
  <c r="K105" i="31" s="1"/>
  <c r="J104" i="31"/>
  <c r="K104" i="31" s="1"/>
  <c r="L104" i="31" s="1"/>
  <c r="J103" i="31"/>
  <c r="K103" i="31" s="1"/>
  <c r="J102" i="31"/>
  <c r="K102" i="31" s="1"/>
  <c r="J101" i="31"/>
  <c r="K101" i="31" s="1"/>
  <c r="J100" i="31"/>
  <c r="K100" i="31" s="1"/>
  <c r="L100" i="31" s="1"/>
  <c r="J99" i="31"/>
  <c r="K99" i="31" s="1"/>
  <c r="L99" i="31" s="1"/>
  <c r="J98" i="31"/>
  <c r="K98" i="31" s="1"/>
  <c r="J97" i="31"/>
  <c r="K97" i="31" s="1"/>
  <c r="J96" i="31"/>
  <c r="K96" i="31" s="1"/>
  <c r="L96" i="31" s="1"/>
  <c r="J95" i="31"/>
  <c r="K95" i="31" s="1"/>
  <c r="L95" i="31" s="1"/>
  <c r="J94" i="31"/>
  <c r="K94" i="31" s="1"/>
  <c r="J93" i="31"/>
  <c r="K93" i="31" s="1"/>
  <c r="J92" i="31"/>
  <c r="K92" i="31" s="1"/>
  <c r="L92" i="31" s="1"/>
  <c r="J91" i="31"/>
  <c r="K91" i="31" s="1"/>
  <c r="L91" i="31" s="1"/>
  <c r="J90" i="31"/>
  <c r="K90" i="31" s="1"/>
  <c r="J89" i="31"/>
  <c r="K89" i="31" s="1"/>
  <c r="J88" i="31"/>
  <c r="K88" i="31" s="1"/>
  <c r="L88" i="31" s="1"/>
  <c r="J87" i="31"/>
  <c r="K87" i="31" s="1"/>
  <c r="J86" i="31"/>
  <c r="K86" i="31" s="1"/>
  <c r="J85" i="31"/>
  <c r="K85" i="31" s="1"/>
  <c r="J84" i="31"/>
  <c r="K84" i="31" s="1"/>
  <c r="L84" i="31" s="1"/>
  <c r="J83" i="31"/>
  <c r="K83" i="31" s="1"/>
  <c r="L83" i="31" s="1"/>
  <c r="J82" i="31"/>
  <c r="K82" i="31" s="1"/>
  <c r="J81" i="31"/>
  <c r="K81" i="31" s="1"/>
  <c r="J80" i="31"/>
  <c r="K80" i="31" s="1"/>
  <c r="L80" i="31" s="1"/>
  <c r="J79" i="31"/>
  <c r="K79" i="31" s="1"/>
  <c r="L79" i="31" s="1"/>
  <c r="J78" i="31"/>
  <c r="K78" i="31" s="1"/>
  <c r="J77" i="31"/>
  <c r="K77" i="31" s="1"/>
  <c r="J76" i="31"/>
  <c r="K76" i="31" s="1"/>
  <c r="L76" i="31" s="1"/>
  <c r="J75" i="31"/>
  <c r="K75" i="31" s="1"/>
  <c r="L75" i="31" s="1"/>
  <c r="J74" i="31"/>
  <c r="K74" i="31" s="1"/>
  <c r="J73" i="31"/>
  <c r="K73" i="31" s="1"/>
  <c r="J72" i="31"/>
  <c r="K72" i="31" s="1"/>
  <c r="L72" i="31" s="1"/>
  <c r="J71" i="31"/>
  <c r="K71" i="31" s="1"/>
  <c r="J36" i="31"/>
  <c r="K36" i="31" s="1"/>
  <c r="L36" i="31" s="1"/>
  <c r="J35" i="31"/>
  <c r="K35" i="31" s="1"/>
  <c r="L35" i="31" s="1"/>
  <c r="J34" i="31"/>
  <c r="K34" i="31" s="1"/>
  <c r="J33" i="31"/>
  <c r="K33" i="31" s="1"/>
  <c r="J32" i="31"/>
  <c r="K32" i="31" s="1"/>
  <c r="L32" i="31" s="1"/>
  <c r="J31" i="31"/>
  <c r="K31" i="31" s="1"/>
  <c r="J30" i="31"/>
  <c r="K30" i="31" s="1"/>
  <c r="J29" i="31"/>
  <c r="K29" i="31" s="1"/>
  <c r="J28" i="31"/>
  <c r="K28" i="31" s="1"/>
  <c r="L28" i="31" s="1"/>
  <c r="J27" i="31"/>
  <c r="K27" i="31" s="1"/>
  <c r="J26" i="31"/>
  <c r="K26" i="31" s="1"/>
  <c r="J25" i="31"/>
  <c r="K25" i="31" s="1"/>
  <c r="J24" i="31"/>
  <c r="K24" i="31" s="1"/>
  <c r="L24" i="31" s="1"/>
  <c r="J23" i="31"/>
  <c r="K23" i="31" s="1"/>
  <c r="J22" i="31"/>
  <c r="K22" i="31" s="1"/>
  <c r="J21" i="31"/>
  <c r="K21" i="31" s="1"/>
  <c r="J20" i="31"/>
  <c r="K20" i="31" s="1"/>
  <c r="L20" i="31" s="1"/>
  <c r="F6" i="11"/>
  <c r="F7" i="11" s="1"/>
  <c r="F8" i="11" s="1"/>
  <c r="F9" i="11" s="1"/>
  <c r="F10" i="11" s="1"/>
  <c r="F12" i="11" s="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F25" i="11" s="1"/>
  <c r="F26" i="11" s="1"/>
  <c r="F27" i="11" s="1"/>
  <c r="F28" i="11" s="1"/>
  <c r="F29" i="11" s="1"/>
  <c r="F30" i="11" s="1"/>
  <c r="F31" i="11" s="1"/>
  <c r="F32" i="11" s="1"/>
  <c r="F33" i="11" s="1"/>
  <c r="F34" i="11" s="1"/>
  <c r="F35" i="11" s="1"/>
  <c r="F36" i="11" s="1"/>
  <c r="F37" i="11" s="1"/>
  <c r="F38" i="11" s="1"/>
  <c r="F39" i="11" s="1"/>
  <c r="F40" i="11" s="1"/>
  <c r="F41" i="11" s="1"/>
  <c r="F42" i="11" s="1"/>
  <c r="F43" i="11" s="1"/>
  <c r="F44" i="11" s="1"/>
  <c r="F45" i="11" s="1"/>
  <c r="F46" i="11" s="1"/>
  <c r="F47" i="11" s="1"/>
  <c r="F48" i="11" s="1"/>
  <c r="F49" i="11" s="1"/>
  <c r="F50" i="11" s="1"/>
  <c r="F51" i="11" s="1"/>
  <c r="F52" i="11" s="1"/>
  <c r="F53" i="11" s="1"/>
  <c r="F54" i="11" s="1"/>
  <c r="F55" i="11" s="1"/>
  <c r="F56" i="11" s="1"/>
  <c r="F57" i="11" s="1"/>
  <c r="F58" i="11" s="1"/>
  <c r="F59" i="11" s="1"/>
  <c r="F60" i="11" s="1"/>
  <c r="F61" i="11" s="1"/>
  <c r="F62" i="11" s="1"/>
  <c r="F63" i="11" s="1"/>
  <c r="F64" i="11" s="1"/>
  <c r="F65" i="11" s="1"/>
  <c r="F66" i="11" s="1"/>
  <c r="F67" i="11" s="1"/>
  <c r="F68" i="11" s="1"/>
  <c r="F69" i="11" s="1"/>
  <c r="F70" i="11" s="1"/>
  <c r="F71" i="11" s="1"/>
  <c r="F72" i="11" s="1"/>
  <c r="F73" i="11" s="1"/>
  <c r="F74" i="11" s="1"/>
  <c r="F75" i="11" s="1"/>
  <c r="F76" i="11" s="1"/>
  <c r="F77" i="11" s="1"/>
  <c r="F78" i="11" s="1"/>
  <c r="F79" i="11" s="1"/>
  <c r="F80" i="11" s="1"/>
  <c r="F81" i="11" s="1"/>
  <c r="F82" i="11" s="1"/>
  <c r="F83" i="11" s="1"/>
  <c r="F84" i="11" s="1"/>
  <c r="F85" i="11" s="1"/>
  <c r="F86" i="11" s="1"/>
  <c r="F87" i="11" s="1"/>
  <c r="F88" i="11" s="1"/>
  <c r="F89" i="11" s="1"/>
  <c r="F90" i="11" s="1"/>
  <c r="F91" i="11" s="1"/>
  <c r="F92" i="11" s="1"/>
  <c r="F93" i="11" s="1"/>
  <c r="F94" i="11" s="1"/>
  <c r="F95" i="11" s="1"/>
  <c r="F96" i="11" s="1"/>
  <c r="F97" i="11" s="1"/>
  <c r="F98" i="11" s="1"/>
  <c r="F99" i="11" s="1"/>
  <c r="F100" i="11" s="1"/>
  <c r="F101" i="11" s="1"/>
  <c r="F102" i="11" s="1"/>
  <c r="F103" i="11" s="1"/>
  <c r="F104" i="11" s="1"/>
  <c r="D110" i="18"/>
  <c r="E110" i="18" s="1"/>
  <c r="D109" i="18"/>
  <c r="E109" i="18" s="1"/>
  <c r="D108" i="18"/>
  <c r="E108" i="18" s="1"/>
  <c r="D107" i="18"/>
  <c r="E107" i="18" s="1"/>
  <c r="D106" i="18"/>
  <c r="E106" i="18" s="1"/>
  <c r="D105" i="18"/>
  <c r="E105" i="18" s="1"/>
  <c r="D104" i="18"/>
  <c r="E104" i="18" s="1"/>
  <c r="D103" i="18"/>
  <c r="E103" i="18" s="1"/>
  <c r="D102" i="18"/>
  <c r="E102" i="18" s="1"/>
  <c r="D101" i="18"/>
  <c r="E101" i="18" s="1"/>
  <c r="D100" i="18"/>
  <c r="E100" i="18" s="1"/>
  <c r="D99" i="18"/>
  <c r="E99" i="18" s="1"/>
  <c r="D98" i="18"/>
  <c r="E98" i="18" s="1"/>
  <c r="D97" i="18"/>
  <c r="E97" i="18" s="1"/>
  <c r="D96" i="18"/>
  <c r="E96" i="18" s="1"/>
  <c r="D95" i="18"/>
  <c r="E95" i="18" s="1"/>
  <c r="D94" i="18"/>
  <c r="E94" i="18" s="1"/>
  <c r="D93" i="18"/>
  <c r="E93" i="18" s="1"/>
  <c r="D92" i="18"/>
  <c r="E92" i="18" s="1"/>
  <c r="D91" i="18"/>
  <c r="E91" i="18" s="1"/>
  <c r="D90" i="18"/>
  <c r="E90" i="18" s="1"/>
  <c r="D89" i="18"/>
  <c r="E89" i="18" s="1"/>
  <c r="D88" i="18"/>
  <c r="E88" i="18" s="1"/>
  <c r="D87" i="18"/>
  <c r="E87" i="18" s="1"/>
  <c r="D86" i="18"/>
  <c r="E86" i="18" s="1"/>
  <c r="D85" i="18"/>
  <c r="E85" i="18" s="1"/>
  <c r="D84" i="18"/>
  <c r="E84" i="18" s="1"/>
  <c r="D83" i="18"/>
  <c r="E83" i="18" s="1"/>
  <c r="D82" i="18"/>
  <c r="E82" i="18" s="1"/>
  <c r="D81" i="18"/>
  <c r="E81" i="18" s="1"/>
  <c r="D80" i="18"/>
  <c r="E80" i="18" s="1"/>
  <c r="D79" i="18"/>
  <c r="E79" i="18" s="1"/>
  <c r="D78" i="18"/>
  <c r="E78" i="18" s="1"/>
  <c r="D77" i="18"/>
  <c r="E77" i="18" s="1"/>
  <c r="D76" i="18"/>
  <c r="E76" i="18" s="1"/>
  <c r="D75" i="18"/>
  <c r="E75" i="18" s="1"/>
  <c r="D74" i="18"/>
  <c r="E74" i="18" s="1"/>
  <c r="D73" i="18"/>
  <c r="E73" i="18" s="1"/>
  <c r="D72" i="18"/>
  <c r="E72" i="18" s="1"/>
  <c r="D71" i="18"/>
  <c r="E71" i="18" s="1"/>
  <c r="D70" i="18"/>
  <c r="E70" i="18" s="1"/>
  <c r="D69" i="18"/>
  <c r="E69" i="18" s="1"/>
  <c r="D68" i="18"/>
  <c r="E68" i="18" s="1"/>
  <c r="D67" i="18"/>
  <c r="E67" i="18" s="1"/>
  <c r="D66" i="18"/>
  <c r="E66" i="18" s="1"/>
  <c r="D65" i="18"/>
  <c r="E65" i="18" s="1"/>
  <c r="D64" i="18"/>
  <c r="E64" i="18" s="1"/>
  <c r="D63" i="18"/>
  <c r="E63" i="18" s="1"/>
  <c r="D62" i="18"/>
  <c r="E62" i="18" s="1"/>
  <c r="D61" i="18"/>
  <c r="E61" i="18" s="1"/>
  <c r="D60" i="18"/>
  <c r="E60" i="18" s="1"/>
  <c r="D59" i="18"/>
  <c r="E59" i="18" s="1"/>
  <c r="D58" i="18"/>
  <c r="E58" i="18" s="1"/>
  <c r="D57" i="18"/>
  <c r="E57" i="18" s="1"/>
  <c r="D56" i="18"/>
  <c r="E56" i="18" s="1"/>
  <c r="D55" i="18"/>
  <c r="E55" i="18" s="1"/>
  <c r="D54" i="18"/>
  <c r="E54" i="18" s="1"/>
  <c r="D53" i="18"/>
  <c r="E53" i="18" s="1"/>
  <c r="D52" i="18"/>
  <c r="E52" i="18" s="1"/>
  <c r="D51" i="18"/>
  <c r="E51" i="18" s="1"/>
  <c r="D50" i="18"/>
  <c r="E50" i="18" s="1"/>
  <c r="D49" i="18"/>
  <c r="E49" i="18" s="1"/>
  <c r="D48" i="18"/>
  <c r="E48" i="18" s="1"/>
  <c r="E47" i="18"/>
  <c r="E46" i="18"/>
  <c r="E45" i="18"/>
  <c r="E44" i="18"/>
  <c r="E43" i="18"/>
  <c r="E42" i="18"/>
  <c r="E41" i="18"/>
  <c r="E40" i="18"/>
  <c r="E39" i="18"/>
  <c r="E38" i="18"/>
  <c r="E37" i="18"/>
  <c r="E36" i="18"/>
  <c r="E35" i="18"/>
  <c r="E34" i="18"/>
  <c r="E33" i="18"/>
  <c r="E32" i="18"/>
  <c r="E31" i="18"/>
  <c r="E30" i="18"/>
  <c r="E29" i="18"/>
  <c r="E28" i="18"/>
  <c r="E27" i="18"/>
  <c r="E26" i="18"/>
  <c r="E25" i="18"/>
  <c r="E24" i="18"/>
  <c r="E23" i="18"/>
  <c r="E22" i="18"/>
  <c r="E21" i="18"/>
  <c r="E20" i="18"/>
  <c r="E19" i="18"/>
  <c r="D18" i="18"/>
  <c r="E18" i="18" s="1"/>
  <c r="D17" i="18"/>
  <c r="E17" i="18" s="1"/>
  <c r="D16" i="18"/>
  <c r="E16" i="18" s="1"/>
  <c r="D15" i="18"/>
  <c r="E15" i="18" s="1"/>
  <c r="D14" i="18"/>
  <c r="E14" i="18" s="1"/>
  <c r="D13" i="18"/>
  <c r="E13" i="18" s="1"/>
  <c r="D12" i="18"/>
  <c r="E12" i="18" s="1"/>
  <c r="D11" i="18"/>
  <c r="E11" i="18" s="1"/>
  <c r="E10" i="18"/>
  <c r="E9" i="18"/>
  <c r="E8" i="18"/>
  <c r="D7" i="18"/>
  <c r="E7" i="18" s="1"/>
  <c r="D6" i="18"/>
  <c r="E6" i="18" s="1"/>
  <c r="D5" i="18"/>
  <c r="E5" i="18" s="1"/>
  <c r="D4" i="18"/>
  <c r="E4" i="18" s="1"/>
  <c r="D3" i="18"/>
  <c r="E3" i="18" s="1"/>
  <c r="E2" i="18"/>
  <c r="B4" i="13"/>
  <c r="D122" i="12"/>
  <c r="B122" i="12"/>
  <c r="D121" i="12"/>
  <c r="B121" i="12"/>
  <c r="D120" i="12"/>
  <c r="B120" i="12"/>
  <c r="D119" i="12"/>
  <c r="B119" i="12"/>
  <c r="D118" i="12"/>
  <c r="B118" i="12"/>
  <c r="D117" i="12"/>
  <c r="B117" i="12"/>
  <c r="D116" i="12"/>
  <c r="B116" i="12"/>
  <c r="D115" i="12"/>
  <c r="B115" i="12"/>
  <c r="D114" i="12"/>
  <c r="B114" i="12"/>
  <c r="D113" i="12"/>
  <c r="B113" i="12"/>
  <c r="D112" i="12"/>
  <c r="B112" i="12"/>
  <c r="D111" i="12"/>
  <c r="B111" i="12"/>
  <c r="D110" i="12"/>
  <c r="B110" i="12"/>
  <c r="D109" i="12"/>
  <c r="B109" i="12"/>
  <c r="D108" i="12"/>
  <c r="B108" i="12"/>
  <c r="D107" i="12"/>
  <c r="B107" i="12"/>
  <c r="D106" i="12"/>
  <c r="B106" i="12"/>
  <c r="D105" i="12"/>
  <c r="B105" i="12"/>
  <c r="D104" i="12"/>
  <c r="B104" i="12"/>
  <c r="D103" i="12"/>
  <c r="B103" i="12"/>
  <c r="D102" i="12"/>
  <c r="B102" i="12"/>
  <c r="D101" i="12"/>
  <c r="B101" i="12"/>
  <c r="D100" i="12"/>
  <c r="B100" i="12"/>
  <c r="D99" i="12"/>
  <c r="B99" i="12"/>
  <c r="D98" i="12"/>
  <c r="B98" i="12"/>
  <c r="D97" i="12"/>
  <c r="B97" i="12"/>
  <c r="D96" i="12"/>
  <c r="B96" i="12"/>
  <c r="D95" i="12"/>
  <c r="B95" i="12"/>
  <c r="D94" i="12"/>
  <c r="B94" i="12"/>
  <c r="D93" i="12"/>
  <c r="B93" i="12"/>
  <c r="D92" i="12"/>
  <c r="B92" i="12"/>
  <c r="D91" i="12"/>
  <c r="B91" i="12"/>
  <c r="D90" i="12"/>
  <c r="B90" i="12"/>
  <c r="D89" i="12"/>
  <c r="B89" i="12"/>
  <c r="D88" i="12"/>
  <c r="B88" i="12"/>
  <c r="D87" i="12"/>
  <c r="B87" i="12"/>
  <c r="D86" i="12"/>
  <c r="B86" i="12"/>
  <c r="D85" i="12"/>
  <c r="B85" i="12"/>
  <c r="D84" i="12"/>
  <c r="B84" i="12"/>
  <c r="D83" i="12"/>
  <c r="B83" i="12"/>
  <c r="D82" i="12"/>
  <c r="B82" i="12"/>
  <c r="D81" i="12"/>
  <c r="B81" i="12"/>
  <c r="D80" i="12"/>
  <c r="B80" i="12"/>
  <c r="D79" i="12"/>
  <c r="B79" i="12"/>
  <c r="D78" i="12"/>
  <c r="B78" i="12"/>
  <c r="D77" i="12"/>
  <c r="B77" i="12"/>
  <c r="D76" i="12"/>
  <c r="B76" i="12"/>
  <c r="D75" i="12"/>
  <c r="B75" i="12"/>
  <c r="D74" i="12"/>
  <c r="B74" i="12"/>
  <c r="D73" i="12"/>
  <c r="B73" i="12"/>
  <c r="D72" i="12"/>
  <c r="B72" i="12"/>
  <c r="D71" i="12"/>
  <c r="B71" i="12"/>
  <c r="D70" i="12"/>
  <c r="B70" i="12"/>
  <c r="D69" i="12"/>
  <c r="B69" i="12"/>
  <c r="D68" i="12"/>
  <c r="B68" i="12"/>
  <c r="D67" i="12"/>
  <c r="B67" i="12"/>
  <c r="D66" i="12"/>
  <c r="B66" i="12"/>
  <c r="D65" i="12"/>
  <c r="B65" i="12"/>
  <c r="D64" i="12"/>
  <c r="B64" i="12"/>
  <c r="D63" i="12"/>
  <c r="B63" i="12"/>
  <c r="D62" i="12"/>
  <c r="B62" i="12"/>
  <c r="D61" i="12"/>
  <c r="B61" i="12"/>
  <c r="D60" i="12"/>
  <c r="B60" i="12"/>
  <c r="D59" i="12"/>
  <c r="B59" i="12"/>
  <c r="D58" i="12"/>
  <c r="B58" i="12"/>
  <c r="D57" i="12"/>
  <c r="B57" i="12"/>
  <c r="D56" i="12"/>
  <c r="B56" i="12"/>
  <c r="D55" i="12"/>
  <c r="B55" i="12"/>
  <c r="D54" i="12"/>
  <c r="B54" i="12"/>
  <c r="D53" i="12"/>
  <c r="B53" i="12"/>
  <c r="D52" i="12"/>
  <c r="B52" i="12"/>
  <c r="D51" i="12"/>
  <c r="B51" i="12"/>
  <c r="D50" i="12"/>
  <c r="B50" i="12"/>
  <c r="D49" i="12"/>
  <c r="B49" i="12"/>
  <c r="D48" i="12"/>
  <c r="B48" i="12"/>
  <c r="D47" i="12"/>
  <c r="B47" i="12"/>
  <c r="D46" i="12"/>
  <c r="B46" i="12"/>
  <c r="D45" i="12"/>
  <c r="B45" i="12"/>
  <c r="D44" i="12"/>
  <c r="B44" i="12"/>
  <c r="D43" i="12"/>
  <c r="B43" i="12"/>
  <c r="D42" i="12"/>
  <c r="B42" i="12"/>
  <c r="D41" i="12"/>
  <c r="B41" i="12"/>
  <c r="D40" i="12"/>
  <c r="B40" i="12"/>
  <c r="D39" i="12"/>
  <c r="B39" i="12"/>
  <c r="D38" i="12"/>
  <c r="B38" i="12"/>
  <c r="D37" i="12"/>
  <c r="B37" i="12"/>
  <c r="D36" i="12"/>
  <c r="B36" i="12"/>
  <c r="D35" i="12"/>
  <c r="B35" i="12"/>
  <c r="D34" i="12"/>
  <c r="B34" i="12"/>
  <c r="D33" i="12"/>
  <c r="B33" i="12"/>
  <c r="D32" i="12"/>
  <c r="B32" i="12"/>
  <c r="D31" i="12"/>
  <c r="B31" i="12"/>
  <c r="D30" i="12"/>
  <c r="B30" i="12"/>
  <c r="D29" i="12"/>
  <c r="B29" i="12"/>
  <c r="D28" i="12"/>
  <c r="B28" i="12"/>
  <c r="D27" i="12"/>
  <c r="B27" i="12"/>
  <c r="D26" i="12"/>
  <c r="B26" i="12"/>
  <c r="D25" i="12"/>
  <c r="B25" i="12"/>
  <c r="D24" i="12"/>
  <c r="B24" i="12"/>
  <c r="D23" i="12"/>
  <c r="B23" i="12"/>
  <c r="D22" i="12"/>
  <c r="B22" i="12"/>
  <c r="D21" i="12"/>
  <c r="B21" i="12"/>
  <c r="D20" i="12"/>
  <c r="B20" i="12"/>
  <c r="D19" i="12"/>
  <c r="B19" i="12"/>
  <c r="D18" i="12"/>
  <c r="B18" i="12"/>
  <c r="D17" i="12"/>
  <c r="B17" i="12"/>
  <c r="D16" i="12"/>
  <c r="B16" i="12"/>
  <c r="D15" i="12"/>
  <c r="B15" i="12"/>
  <c r="D14" i="12"/>
  <c r="B14" i="12"/>
  <c r="D13" i="12"/>
  <c r="B13" i="12"/>
  <c r="D12" i="12"/>
  <c r="B12" i="12"/>
  <c r="D11" i="12"/>
  <c r="B11" i="12"/>
  <c r="D10" i="12"/>
  <c r="B10" i="12"/>
  <c r="D9" i="12"/>
  <c r="B9" i="12"/>
  <c r="D8" i="12"/>
  <c r="B8" i="12"/>
  <c r="D7" i="12"/>
  <c r="B7" i="12"/>
  <c r="D6" i="12"/>
  <c r="B6" i="12"/>
  <c r="D5" i="12"/>
  <c r="B5" i="12"/>
  <c r="I104" i="11"/>
  <c r="I103" i="11"/>
  <c r="I102" i="11"/>
  <c r="I101" i="11"/>
  <c r="I100" i="11"/>
  <c r="I99" i="11"/>
  <c r="I98" i="11"/>
  <c r="I97" i="11"/>
  <c r="I96" i="11"/>
  <c r="I95" i="11"/>
  <c r="I94" i="11"/>
  <c r="I93" i="11"/>
  <c r="I92" i="11"/>
  <c r="I91" i="11"/>
  <c r="I90" i="11"/>
  <c r="I89" i="11"/>
  <c r="I88" i="11"/>
  <c r="I87" i="11"/>
  <c r="I86" i="11"/>
  <c r="I85" i="11"/>
  <c r="I84" i="11"/>
  <c r="I83" i="11"/>
  <c r="I82" i="11"/>
  <c r="I81" i="11"/>
  <c r="I80" i="11"/>
  <c r="I79" i="11"/>
  <c r="I78" i="11"/>
  <c r="I77" i="11"/>
  <c r="I76" i="11"/>
  <c r="I75" i="11"/>
  <c r="I74" i="11"/>
  <c r="I73" i="11"/>
  <c r="I72" i="11"/>
  <c r="I71" i="11"/>
  <c r="I70" i="11"/>
  <c r="I69" i="11"/>
  <c r="I68" i="11"/>
  <c r="I67" i="11"/>
  <c r="I66" i="11"/>
  <c r="I65" i="11"/>
  <c r="I64" i="11"/>
  <c r="I63" i="11"/>
  <c r="I62" i="11"/>
  <c r="I61" i="11"/>
  <c r="I60" i="11"/>
  <c r="I59" i="11"/>
  <c r="I58" i="11"/>
  <c r="I57" i="11"/>
  <c r="I56" i="11"/>
  <c r="I55" i="11"/>
  <c r="I54" i="11"/>
  <c r="I53" i="11"/>
  <c r="I52" i="11"/>
  <c r="I51" i="11"/>
  <c r="I50" i="11"/>
  <c r="I49" i="11"/>
  <c r="I48" i="11"/>
  <c r="I47" i="11"/>
  <c r="I46" i="11"/>
  <c r="I45" i="11"/>
  <c r="I44" i="11"/>
  <c r="I43" i="11"/>
  <c r="I42" i="11"/>
  <c r="I41" i="11"/>
  <c r="I40" i="11"/>
  <c r="I39" i="11"/>
  <c r="I38" i="11"/>
  <c r="I37" i="11"/>
  <c r="I36" i="11"/>
  <c r="I35" i="11"/>
  <c r="I34" i="11"/>
  <c r="I33" i="11"/>
  <c r="I32" i="11"/>
  <c r="I31" i="11"/>
  <c r="I30" i="11"/>
  <c r="I29" i="11"/>
  <c r="I28" i="11"/>
  <c r="I27" i="11"/>
  <c r="I26" i="11"/>
  <c r="I25" i="11"/>
  <c r="I24" i="11"/>
  <c r="I23" i="11"/>
  <c r="I22" i="11"/>
  <c r="I21" i="11"/>
  <c r="I20" i="11"/>
  <c r="I19" i="11"/>
  <c r="I18" i="11"/>
  <c r="I17" i="11"/>
  <c r="I16" i="11"/>
  <c r="I15" i="11"/>
  <c r="I14" i="11"/>
  <c r="I13" i="11"/>
  <c r="I12" i="11"/>
  <c r="I11" i="11"/>
  <c r="I10" i="11"/>
  <c r="I9" i="11"/>
  <c r="I8" i="11"/>
  <c r="I7" i="11"/>
  <c r="B4" i="1"/>
  <c r="B5" i="1" s="1"/>
  <c r="B6" i="1" s="1"/>
  <c r="B7" i="1" s="1"/>
  <c r="B8" i="1" s="1"/>
  <c r="B9" i="1" s="1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B5" i="3"/>
  <c r="B6" i="3" s="1"/>
  <c r="B7" i="3" s="1"/>
  <c r="B8" i="3" s="1"/>
  <c r="B4" i="3"/>
  <c r="M32" i="31" l="1"/>
  <c r="M28" i="31"/>
  <c r="L13" i="31"/>
  <c r="M13" i="31" s="1"/>
  <c r="M17" i="31"/>
  <c r="M64" i="31"/>
  <c r="M60" i="31"/>
  <c r="L25" i="31"/>
  <c r="M25" i="31" s="1"/>
  <c r="L29" i="31"/>
  <c r="M29" i="31" s="1"/>
  <c r="L41" i="31"/>
  <c r="M41" i="31" s="1"/>
  <c r="L45" i="31"/>
  <c r="M45" i="31" s="1"/>
  <c r="L57" i="31"/>
  <c r="M57" i="31" s="1"/>
  <c r="L61" i="31"/>
  <c r="M61" i="31" s="1"/>
  <c r="L22" i="31"/>
  <c r="M22" i="31" s="1"/>
  <c r="L26" i="31"/>
  <c r="M26" i="31" s="1"/>
  <c r="L30" i="31"/>
  <c r="M30" i="31" s="1"/>
  <c r="L34" i="31"/>
  <c r="M34" i="31" s="1"/>
  <c r="L38" i="31"/>
  <c r="M38" i="31" s="1"/>
  <c r="L42" i="31"/>
  <c r="M42" i="31" s="1"/>
  <c r="L46" i="31"/>
  <c r="M46" i="31" s="1"/>
  <c r="L50" i="31"/>
  <c r="M50" i="31" s="1"/>
  <c r="L54" i="31"/>
  <c r="M54" i="31" s="1"/>
  <c r="L58" i="31"/>
  <c r="M58" i="31" s="1"/>
  <c r="L62" i="31"/>
  <c r="M62" i="31" s="1"/>
  <c r="L66" i="31"/>
  <c r="M66" i="31" s="1"/>
  <c r="L70" i="31"/>
  <c r="M70" i="31" s="1"/>
  <c r="L101" i="31"/>
  <c r="M101" i="31" s="1"/>
  <c r="L85" i="31"/>
  <c r="M85" i="31" s="1"/>
  <c r="L69" i="31"/>
  <c r="M69" i="31" s="1"/>
  <c r="L53" i="31"/>
  <c r="M53" i="31" s="1"/>
  <c r="L37" i="31"/>
  <c r="M37" i="31" s="1"/>
  <c r="L21" i="31"/>
  <c r="M21" i="31" s="1"/>
  <c r="M112" i="31"/>
  <c r="M96" i="31"/>
  <c r="M80" i="31"/>
  <c r="M35" i="31"/>
  <c r="L6" i="31"/>
  <c r="M6" i="31" s="1"/>
  <c r="L10" i="31"/>
  <c r="M10" i="31" s="1"/>
  <c r="L14" i="31"/>
  <c r="M14" i="31" s="1"/>
  <c r="L18" i="31"/>
  <c r="M18" i="31" s="1"/>
  <c r="M51" i="31"/>
  <c r="M67" i="31"/>
  <c r="L113" i="31"/>
  <c r="M113" i="31" s="1"/>
  <c r="L97" i="31"/>
  <c r="M97" i="31" s="1"/>
  <c r="L81" i="31"/>
  <c r="M81" i="31" s="1"/>
  <c r="L65" i="31"/>
  <c r="M65" i="31" s="1"/>
  <c r="L49" i="31"/>
  <c r="M49" i="31" s="1"/>
  <c r="L33" i="31"/>
  <c r="M33" i="31" s="1"/>
  <c r="L63" i="31"/>
  <c r="M63" i="31" s="1"/>
  <c r="L47" i="31"/>
  <c r="M47" i="31" s="1"/>
  <c r="L31" i="31"/>
  <c r="M31" i="31" s="1"/>
  <c r="M108" i="31"/>
  <c r="M92" i="31"/>
  <c r="M76" i="31"/>
  <c r="L74" i="31"/>
  <c r="M74" i="31" s="1"/>
  <c r="L78" i="31"/>
  <c r="M78" i="31" s="1"/>
  <c r="L82" i="31"/>
  <c r="M82" i="31" s="1"/>
  <c r="L86" i="31"/>
  <c r="M86" i="31" s="1"/>
  <c r="L90" i="31"/>
  <c r="M90" i="31" s="1"/>
  <c r="L94" i="31"/>
  <c r="M94" i="31" s="1"/>
  <c r="L98" i="31"/>
  <c r="M98" i="31" s="1"/>
  <c r="L102" i="31"/>
  <c r="M102" i="31" s="1"/>
  <c r="L106" i="31"/>
  <c r="M106" i="31" s="1"/>
  <c r="L110" i="31"/>
  <c r="M110" i="31" s="1"/>
  <c r="L114" i="31"/>
  <c r="M114" i="31" s="1"/>
  <c r="M15" i="31"/>
  <c r="M19" i="31"/>
  <c r="L40" i="31"/>
  <c r="M40" i="31" s="1"/>
  <c r="L44" i="31"/>
  <c r="M44" i="31" s="1"/>
  <c r="L48" i="31"/>
  <c r="M48" i="31" s="1"/>
  <c r="L109" i="31"/>
  <c r="M109" i="31" s="1"/>
  <c r="L93" i="31"/>
  <c r="M93" i="31" s="1"/>
  <c r="L77" i="31"/>
  <c r="M77" i="31" s="1"/>
  <c r="L59" i="31"/>
  <c r="M59" i="31" s="1"/>
  <c r="L43" i="31"/>
  <c r="M43" i="31" s="1"/>
  <c r="L27" i="31"/>
  <c r="M27" i="31" s="1"/>
  <c r="L11" i="31"/>
  <c r="M11" i="31" s="1"/>
  <c r="M9" i="31"/>
  <c r="M24" i="31"/>
  <c r="M104" i="31"/>
  <c r="M88" i="31"/>
  <c r="M72" i="31"/>
  <c r="M56" i="31"/>
  <c r="M75" i="31"/>
  <c r="M79" i="31"/>
  <c r="M83" i="31"/>
  <c r="M91" i="31"/>
  <c r="M95" i="31"/>
  <c r="M99" i="31"/>
  <c r="M107" i="31"/>
  <c r="M111" i="31"/>
  <c r="M115" i="31"/>
  <c r="L8" i="31"/>
  <c r="M8" i="31" s="1"/>
  <c r="L12" i="31"/>
  <c r="M12" i="31" s="1"/>
  <c r="L16" i="31"/>
  <c r="M16" i="31" s="1"/>
  <c r="L105" i="31"/>
  <c r="M105" i="31" s="1"/>
  <c r="L89" i="31"/>
  <c r="M89" i="31" s="1"/>
  <c r="L73" i="31"/>
  <c r="M73" i="31" s="1"/>
  <c r="L103" i="31"/>
  <c r="M103" i="31" s="1"/>
  <c r="L87" i="31"/>
  <c r="M87" i="31" s="1"/>
  <c r="L71" i="31"/>
  <c r="M71" i="31" s="1"/>
  <c r="L55" i="31"/>
  <c r="M55" i="31" s="1"/>
  <c r="L39" i="31"/>
  <c r="M39" i="31" s="1"/>
  <c r="L23" i="31"/>
  <c r="M23" i="31" s="1"/>
  <c r="L7" i="31"/>
  <c r="M7" i="31" s="1"/>
  <c r="M36" i="31"/>
  <c r="M20" i="31"/>
  <c r="M100" i="31"/>
  <c r="M84" i="31"/>
  <c r="M68" i="31"/>
  <c r="M52" i="31"/>
  <c r="L5" i="31"/>
  <c r="M5" i="31" s="1"/>
</calcChain>
</file>

<file path=xl/sharedStrings.xml><?xml version="1.0" encoding="utf-8"?>
<sst xmlns="http://schemas.openxmlformats.org/spreadsheetml/2006/main" count="4348" uniqueCount="2303">
  <si>
    <t>Sl No</t>
  </si>
  <si>
    <t>Comments</t>
  </si>
  <si>
    <t>Done</t>
  </si>
  <si>
    <t>Pending</t>
  </si>
  <si>
    <t>Data Set</t>
  </si>
  <si>
    <t>Title</t>
  </si>
  <si>
    <t>Clients</t>
  </si>
  <si>
    <t>Users</t>
  </si>
  <si>
    <t>Data Generated</t>
  </si>
  <si>
    <t>Rows</t>
  </si>
  <si>
    <t>Columns</t>
  </si>
  <si>
    <t>Formula</t>
  </si>
  <si>
    <t>Admin</t>
  </si>
  <si>
    <t>YES</t>
  </si>
  <si>
    <t>Roles</t>
  </si>
  <si>
    <t>Departments</t>
  </si>
  <si>
    <t>primary_contact</t>
  </si>
  <si>
    <t>Restaurants</t>
  </si>
  <si>
    <t>Countries</t>
  </si>
  <si>
    <t>Currencies</t>
  </si>
  <si>
    <t>Subscriptions</t>
  </si>
  <si>
    <t>Accounting</t>
  </si>
  <si>
    <t>CashUps</t>
  </si>
  <si>
    <t>Sales</t>
  </si>
  <si>
    <t>TaxInfo</t>
  </si>
  <si>
    <t>sales</t>
  </si>
  <si>
    <t>Generate Clients for UK</t>
  </si>
  <si>
    <t>McDonalds</t>
  </si>
  <si>
    <t>KFC</t>
  </si>
  <si>
    <t>Creams - Creams Café - Location</t>
  </si>
  <si>
    <t>Starbucks</t>
  </si>
  <si>
    <t>IsActive</t>
  </si>
  <si>
    <t>Have a distribution of Active and Inactive</t>
  </si>
  <si>
    <t>Activated Date</t>
  </si>
  <si>
    <t>Let this be from 2016 to now. Ensure that Activated Date is less than inactivated date</t>
  </si>
  <si>
    <t>InActivated Date</t>
  </si>
  <si>
    <t>Have about 10% of clients inactive</t>
  </si>
  <si>
    <t>Formatting</t>
  </si>
  <si>
    <t>Have the client names start with Capitals. For Ex: "spice room" is "Spice Room"</t>
  </si>
  <si>
    <t>Number of Clients</t>
  </si>
  <si>
    <t>30 Clients. 20 UK and 10 Indian</t>
  </si>
  <si>
    <t>Active Clients - Inactive Date</t>
  </si>
  <si>
    <t>Active Clients will not have inactive date</t>
  </si>
  <si>
    <t>client_id</t>
  </si>
  <si>
    <t>legal_name</t>
  </si>
  <si>
    <t>business_name</t>
  </si>
  <si>
    <t xml:space="preserve">is  Active </t>
  </si>
  <si>
    <t>Activated date</t>
  </si>
  <si>
    <t>inactivated_date</t>
  </si>
  <si>
    <t>Bombay Masala</t>
  </si>
  <si>
    <t>Bombay masala</t>
  </si>
  <si>
    <t>20/06/18</t>
  </si>
  <si>
    <t>Mumbai tiger</t>
  </si>
  <si>
    <t>06/12/20</t>
  </si>
  <si>
    <t>the curry spoon</t>
  </si>
  <si>
    <t>04/11/20</t>
  </si>
  <si>
    <t>Curry &amp; Ghee</t>
  </si>
  <si>
    <t>24/02/17</t>
  </si>
  <si>
    <t>Naan Palace</t>
  </si>
  <si>
    <t>13/07/19</t>
  </si>
  <si>
    <t>21/12/16</t>
  </si>
  <si>
    <t>the paneer pot</t>
  </si>
  <si>
    <t>11/01/18</t>
  </si>
  <si>
    <t>01/11/20</t>
  </si>
  <si>
    <t>temple of chai</t>
  </si>
  <si>
    <t>21/02/20</t>
  </si>
  <si>
    <t>21/09/19</t>
  </si>
  <si>
    <t>Monsoon's curry</t>
  </si>
  <si>
    <t>11/06/20</t>
  </si>
  <si>
    <t>30/10/20</t>
  </si>
  <si>
    <t>spices from brahma</t>
  </si>
  <si>
    <t>03/07/19</t>
  </si>
  <si>
    <t>07/08/18</t>
  </si>
  <si>
    <t>the star of india</t>
  </si>
  <si>
    <t>10/01/16</t>
  </si>
  <si>
    <t>14/02/17</t>
  </si>
  <si>
    <t>badmaash</t>
  </si>
  <si>
    <t>20/12/19</t>
  </si>
  <si>
    <t>31/03/16</t>
  </si>
  <si>
    <t>spice room</t>
  </si>
  <si>
    <t>13/12/17</t>
  </si>
  <si>
    <t>05/06/18</t>
  </si>
  <si>
    <t>kochi indian</t>
  </si>
  <si>
    <t>05/08/20</t>
  </si>
  <si>
    <t>30/08/17</t>
  </si>
  <si>
    <t>10/12/16</t>
  </si>
  <si>
    <t>03/05/19</t>
  </si>
  <si>
    <t>The bombay bread bar</t>
  </si>
  <si>
    <t>11/02/18</t>
  </si>
  <si>
    <t>08/10/17</t>
  </si>
  <si>
    <t>26/03/20</t>
  </si>
  <si>
    <t>22/03/20</t>
  </si>
  <si>
    <t>31/07/17</t>
  </si>
  <si>
    <t>02/02/19</t>
  </si>
  <si>
    <t>08/01/18</t>
  </si>
  <si>
    <t>10/08/19</t>
  </si>
  <si>
    <t>08/01/19</t>
  </si>
  <si>
    <t>display_name</t>
  </si>
  <si>
    <t>product_code</t>
  </si>
  <si>
    <t>ROS_ERP</t>
  </si>
  <si>
    <t>subscription_id</t>
  </si>
  <si>
    <t>subscription_name</t>
  </si>
  <si>
    <t>subscription_active</t>
  </si>
  <si>
    <t>subscription_code</t>
  </si>
  <si>
    <t>description</t>
  </si>
  <si>
    <t>Cost</t>
  </si>
  <si>
    <t>No Of Users</t>
  </si>
  <si>
    <t>Frequency</t>
  </si>
  <si>
    <t>Free</t>
  </si>
  <si>
    <t>ERP_FRE</t>
  </si>
  <si>
    <t>Free Subscription. Given when users want to try the portal</t>
  </si>
  <si>
    <t>Monthly ,Quarterly, Annually</t>
  </si>
  <si>
    <t>Fremium</t>
  </si>
  <si>
    <t>ERP_FRM</t>
  </si>
  <si>
    <t>Free Subscription. Given when users want to try the portal and also have certain critical features</t>
  </si>
  <si>
    <t>Premium</t>
  </si>
  <si>
    <t>ERP_PRE</t>
  </si>
  <si>
    <t>Subscription with free and premium features</t>
  </si>
  <si>
    <t>Enterprise</t>
  </si>
  <si>
    <t>ERP_ENT</t>
  </si>
  <si>
    <t>Enterprise wide features of the subscription</t>
  </si>
  <si>
    <t>HRM</t>
  </si>
  <si>
    <t>PRL</t>
  </si>
  <si>
    <t>Payroll</t>
  </si>
  <si>
    <t>Attributes, User Name, Email, Password, Phone, IsActive, Account, Client, Restaurants (1..*), User Activated Date, User Inactivated Date, Subscription, Role, Deparment</t>
  </si>
  <si>
    <t>Have 10% as inactive users</t>
  </si>
  <si>
    <t>Each user will be mapped to a client</t>
  </si>
  <si>
    <t>Each user will be mapped to a Subscription</t>
  </si>
  <si>
    <t>If user is active then inactivated date is null</t>
  </si>
  <si>
    <t>750 Users overall. 150 Restaurants * 5</t>
  </si>
  <si>
    <t>id</t>
  </si>
  <si>
    <t>first_name</t>
  </si>
  <si>
    <t>last_name</t>
  </si>
  <si>
    <t>email</t>
  </si>
  <si>
    <t>phone</t>
  </si>
  <si>
    <t>is active</t>
  </si>
  <si>
    <t>restaurant_id</t>
  </si>
  <si>
    <t>Role</t>
  </si>
  <si>
    <t>Department</t>
  </si>
  <si>
    <t>Client</t>
  </si>
  <si>
    <t>Subscription</t>
  </si>
  <si>
    <t>Abhishek</t>
  </si>
  <si>
    <t>Sharma</t>
  </si>
  <si>
    <t>Abhishek Sharma@gmail.com</t>
  </si>
  <si>
    <t>\N</t>
  </si>
  <si>
    <t>Shukla</t>
  </si>
  <si>
    <t>Abhishek Shukla@gmail.com</t>
  </si>
  <si>
    <t>Adit Joseph Pinheiro</t>
  </si>
  <si>
    <t>Adit Joseph Pinheiro@gmail.com</t>
  </si>
  <si>
    <t>Akansha Giriya</t>
  </si>
  <si>
    <t>Akansha Giriya@gmail.com</t>
  </si>
  <si>
    <t>Alok Kumar Srivastava</t>
  </si>
  <si>
    <t>Alok Kumar Srivastava@gmail.com</t>
  </si>
  <si>
    <t>Amit Gupta</t>
  </si>
  <si>
    <t>Amit Gupta@gmail.com</t>
  </si>
  <si>
    <t>Amrendra Kumar</t>
  </si>
  <si>
    <t>Amrendra Kumar@gmail.com</t>
  </si>
  <si>
    <t>Andra Charan Satya  Kumar</t>
  </si>
  <si>
    <t>Andra Charan Satya  Kumar@gmail.com</t>
  </si>
  <si>
    <t>27-11-2019 12:02</t>
  </si>
  <si>
    <t>26-08-2020 15:15</t>
  </si>
  <si>
    <t>Anoop C Augustine</t>
  </si>
  <si>
    <t>Anoop C Augustine@gmail.com</t>
  </si>
  <si>
    <t>28-11-2019 07:33</t>
  </si>
  <si>
    <t>Ashok Kumar S</t>
  </si>
  <si>
    <t>Ashok Kumar S@gmail.com</t>
  </si>
  <si>
    <t>29-12-2019 05:42</t>
  </si>
  <si>
    <t>Ashutosh</t>
  </si>
  <si>
    <t>Ashutosh@gmail.com</t>
  </si>
  <si>
    <t>Ashvita</t>
  </si>
  <si>
    <t>Ashvita@gmail.com</t>
  </si>
  <si>
    <t>Ashwin Pai</t>
  </si>
  <si>
    <t>Ashwin Pai@gmail.com</t>
  </si>
  <si>
    <t>16-12-2019 05:26</t>
  </si>
  <si>
    <t>Ayush Negi</t>
  </si>
  <si>
    <t>Ayush Negi@gmail.com</t>
  </si>
  <si>
    <t>16-12-2019 05:33</t>
  </si>
  <si>
    <t>Balamuragan C</t>
  </si>
  <si>
    <t>Balamuragan C@gmail.com</t>
  </si>
  <si>
    <t>19-12-2019 21:42</t>
  </si>
  <si>
    <t>20-05-2021 10:29</t>
  </si>
  <si>
    <t>Basavaraj Bhavi V</t>
  </si>
  <si>
    <t>Basavaraj Bhavi V@gmail.com</t>
  </si>
  <si>
    <t>19-12-2019 21:50</t>
  </si>
  <si>
    <t>21-12-2019 10:35</t>
  </si>
  <si>
    <t>Bharat Hegde</t>
  </si>
  <si>
    <t>Bharat Hegde@gmail.com</t>
  </si>
  <si>
    <t>19-12-2019 21:51</t>
  </si>
  <si>
    <t>21-12-2019 10:37</t>
  </si>
  <si>
    <t>Bharat Wahane</t>
  </si>
  <si>
    <t>Bharat Wahane@gmail.com</t>
  </si>
  <si>
    <t>20-12-2019 06:43</t>
  </si>
  <si>
    <t>Bhargavi Sree Pentakota</t>
  </si>
  <si>
    <t>Bhargavi Sree Pentakota@gmail.com</t>
  </si>
  <si>
    <t>22-12-2019 23:05</t>
  </si>
  <si>
    <t>Debanjan Bhowmick</t>
  </si>
  <si>
    <t>Debanjan Bhowmick@gmail.com</t>
  </si>
  <si>
    <t>22-12-2019 23:14</t>
  </si>
  <si>
    <t>Dipti  Gupta</t>
  </si>
  <si>
    <t>Dipti  Gupta@gmail.com</t>
  </si>
  <si>
    <t>22-12-2019 23:28</t>
  </si>
  <si>
    <t>Jagadeesh S</t>
  </si>
  <si>
    <t>Jagadeesh S@gmail.com</t>
  </si>
  <si>
    <t>23-12-2019 04:37</t>
  </si>
  <si>
    <t>Kailash  Bisht</t>
  </si>
  <si>
    <t>Kailash  Bisht@gmail.com</t>
  </si>
  <si>
    <t>23-12-2019 04:40</t>
  </si>
  <si>
    <t>Karan Raj</t>
  </si>
  <si>
    <t>Karan Raj@gmail.com</t>
  </si>
  <si>
    <t>23-12-2019 04:50</t>
  </si>
  <si>
    <t>Kaushal Kishor</t>
  </si>
  <si>
    <t>Kaushal Kishor@gmail.com</t>
  </si>
  <si>
    <t>29-12-2019 05:54</t>
  </si>
  <si>
    <t>Koppala Balaji</t>
  </si>
  <si>
    <t>Koppala Balaji@gmail.com</t>
  </si>
  <si>
    <t>30-12-2019 05:15</t>
  </si>
  <si>
    <t>Labh Biswas</t>
  </si>
  <si>
    <t>Labh Biswas@gmail.com</t>
  </si>
  <si>
    <t>30-12-2019 07:26</t>
  </si>
  <si>
    <t>Lakshmi Bai S</t>
  </si>
  <si>
    <t>Lakshmi Bai S@gmail.com</t>
  </si>
  <si>
    <t>Mohnish  Salian</t>
  </si>
  <si>
    <t>Mohnish  Salian@gmail.com</t>
  </si>
  <si>
    <t>Monisha  D</t>
  </si>
  <si>
    <t>Monisha  D@gmail.com</t>
  </si>
  <si>
    <t>Mounesh</t>
  </si>
  <si>
    <t>Mounesh@gmail.com</t>
  </si>
  <si>
    <t>0203 6748639</t>
  </si>
  <si>
    <t>17-07-2020 04:18</t>
  </si>
  <si>
    <t>Navakarthiga R</t>
  </si>
  <si>
    <t>Navakarthiga R@gmail.com</t>
  </si>
  <si>
    <t>13-01-2020 03:32</t>
  </si>
  <si>
    <t>Naveen Chacko</t>
  </si>
  <si>
    <t>Naveen Chacko@gmail.com</t>
  </si>
  <si>
    <t>13-01-2020 03:34</t>
  </si>
  <si>
    <t>Navya D N</t>
  </si>
  <si>
    <t>Navya D N@gmail.com</t>
  </si>
  <si>
    <t>01438 504467</t>
  </si>
  <si>
    <t>13-01-2020 03:35</t>
  </si>
  <si>
    <t xml:space="preserve">Prahas S Kattimani </t>
  </si>
  <si>
    <t>13-01-2020 03:37</t>
  </si>
  <si>
    <t>16-10-2020 10:53</t>
  </si>
  <si>
    <t>Pranshul Gupta</t>
  </si>
  <si>
    <t>Pranshul Gupta@gmail.com</t>
  </si>
  <si>
    <t>13-01-2020 03:38</t>
  </si>
  <si>
    <t>27-04-2021 19:52</t>
  </si>
  <si>
    <t>Rahul Shekar C</t>
  </si>
  <si>
    <t>Rahul Shekar C@gmail.com</t>
  </si>
  <si>
    <t>13-01-2020 03:39</t>
  </si>
  <si>
    <t>Rajanand Kumar</t>
  </si>
  <si>
    <t>Rajanand Kumar@gmail.com</t>
  </si>
  <si>
    <t>13-01-2020 03:41</t>
  </si>
  <si>
    <t>Rakesh   N</t>
  </si>
  <si>
    <t>Rakesh   N@gmail.com</t>
  </si>
  <si>
    <t>13-01-2020 03:42</t>
  </si>
  <si>
    <t>Ramesha Shetty</t>
  </si>
  <si>
    <t>Ramesha Shetty@gmail.com</t>
  </si>
  <si>
    <t>20-01-2020 03:16</t>
  </si>
  <si>
    <t>Rimjhim Prachi</t>
  </si>
  <si>
    <t>Rimjhim Prachi@gmail.com</t>
  </si>
  <si>
    <t>20-01-2020 04:35</t>
  </si>
  <si>
    <t>Saicharan Paduchuriven Katashanmuk</t>
  </si>
  <si>
    <t>Saicharan Paduchuriven Katashanmuk@gmail.com</t>
  </si>
  <si>
    <t>31-01-2020 01:53</t>
  </si>
  <si>
    <t>25-11-2020 11:24</t>
  </si>
  <si>
    <t>Sharath Kumar Hj</t>
  </si>
  <si>
    <t>Sharath Kumar Hj@gmail.com</t>
  </si>
  <si>
    <t>31-01-2020 01:56</t>
  </si>
  <si>
    <t>Shashank Jk</t>
  </si>
  <si>
    <t>Shashank Jk@gmail.com</t>
  </si>
  <si>
    <t>Shaswath Dasa</t>
  </si>
  <si>
    <t>Shaswath Dasa@gmail.com</t>
  </si>
  <si>
    <t>Sowmya Shree BV</t>
  </si>
  <si>
    <t>Sowmya Shree BV@gmail.com</t>
  </si>
  <si>
    <t>020 3883 4710</t>
  </si>
  <si>
    <t>Sriji  Goel</t>
  </si>
  <si>
    <t>Sriji  Goel@gmail.com</t>
  </si>
  <si>
    <t>Tammineni Hari</t>
  </si>
  <si>
    <t>Tammineni Hari@gmail.com</t>
  </si>
  <si>
    <t>Tatavarty  Surya Mounika</t>
  </si>
  <si>
    <t>Tatavarty  Surya Mounika@gmail.com</t>
  </si>
  <si>
    <t>21-02-2020 06:57</t>
  </si>
  <si>
    <t>Tharankumar S </t>
  </si>
  <si>
    <t>Tharankumar S @gmail.com</t>
  </si>
  <si>
    <t>27-02-2020 07:24</t>
  </si>
  <si>
    <t>21-08-2020 17:51</t>
  </si>
  <si>
    <t>Varun Chaudhary</t>
  </si>
  <si>
    <t>Varun Chaudhary@gmail.com</t>
  </si>
  <si>
    <t>28-02-2020 02:29</t>
  </si>
  <si>
    <t>Vikas Narsappa Police</t>
  </si>
  <si>
    <t>Vikas Narsappa Police@gmail.com</t>
  </si>
  <si>
    <t>28-02-2020 02:32</t>
  </si>
  <si>
    <t>Angela</t>
  </si>
  <si>
    <t>Angela@gmail.com</t>
  </si>
  <si>
    <t>28-02-2020 02:35</t>
  </si>
  <si>
    <t>Bonnie</t>
  </si>
  <si>
    <t>Bonnie@gmail.com</t>
  </si>
  <si>
    <t>0203 674 8639</t>
  </si>
  <si>
    <t>Frank</t>
  </si>
  <si>
    <t>Frank@gmail.com</t>
  </si>
  <si>
    <t>27-05-2021 15:41</t>
  </si>
  <si>
    <t>Joe</t>
  </si>
  <si>
    <t>Joe@gmail.com</t>
  </si>
  <si>
    <t>Kimberly</t>
  </si>
  <si>
    <t>Kimberly@gmail.com</t>
  </si>
  <si>
    <t>16-10-2020 11:03</t>
  </si>
  <si>
    <t>Lisa</t>
  </si>
  <si>
    <t>Lisa@gmail.com</t>
  </si>
  <si>
    <t>26-11-2020 12:57</t>
  </si>
  <si>
    <t>Michael</t>
  </si>
  <si>
    <t>Michael@gmail.com</t>
  </si>
  <si>
    <t>Patrick</t>
  </si>
  <si>
    <t>Patrick@gmail.com</t>
  </si>
  <si>
    <t>Rose</t>
  </si>
  <si>
    <t>Rose@gmail.com</t>
  </si>
  <si>
    <t>Todd</t>
  </si>
  <si>
    <t>Todd@gmail.com</t>
  </si>
  <si>
    <t>15-03-2020 11:47</t>
  </si>
  <si>
    <t>James</t>
  </si>
  <si>
    <t>James@gmail.com</t>
  </si>
  <si>
    <t>15-03-2020 11:48</t>
  </si>
  <si>
    <t>john</t>
  </si>
  <si>
    <t>john@gmail.com</t>
  </si>
  <si>
    <t>15-03-2020 11:49</t>
  </si>
  <si>
    <t>mochel</t>
  </si>
  <si>
    <t>mochel@gmail.com</t>
  </si>
  <si>
    <t>15-03-2020 11:52</t>
  </si>
  <si>
    <t>william</t>
  </si>
  <si>
    <t>william@gmail.com</t>
  </si>
  <si>
    <t>15-03-2020 11:56</t>
  </si>
  <si>
    <t>20-05-2021 10:36</t>
  </si>
  <si>
    <t>david</t>
  </si>
  <si>
    <t>david@gmail.com</t>
  </si>
  <si>
    <t>15-03-2020 11:57</t>
  </si>
  <si>
    <t>richard</t>
  </si>
  <si>
    <t>richard@gmail.com</t>
  </si>
  <si>
    <t>31-05-2020 02:42</t>
  </si>
  <si>
    <t>joseph</t>
  </si>
  <si>
    <t>joseph@gmail.com</t>
  </si>
  <si>
    <t>thomas</t>
  </si>
  <si>
    <t>thomas@gmail.com</t>
  </si>
  <si>
    <t>21-06-2020 08:08</t>
  </si>
  <si>
    <t>chrles</t>
  </si>
  <si>
    <t>chrles@gmail.com</t>
  </si>
  <si>
    <t>christphor</t>
  </si>
  <si>
    <t>christphor@gmail.com</t>
  </si>
  <si>
    <t>30-06-2020 10:18</t>
  </si>
  <si>
    <t>Naveed</t>
  </si>
  <si>
    <t>Naveed@gmail.com</t>
  </si>
  <si>
    <t>30-06-2020 10:54</t>
  </si>
  <si>
    <t>danies'</t>
  </si>
  <si>
    <t>danies@gmail.com</t>
  </si>
  <si>
    <t>30-06-2020 11:02</t>
  </si>
  <si>
    <t>antony</t>
  </si>
  <si>
    <t>antony@gmail.com</t>
  </si>
  <si>
    <t>mark</t>
  </si>
  <si>
    <t>mark@gmail.com</t>
  </si>
  <si>
    <t>donald</t>
  </si>
  <si>
    <t>donald@gmail.com</t>
  </si>
  <si>
    <t>0208 050 1303</t>
  </si>
  <si>
    <t>14-07-2020 04:17</t>
  </si>
  <si>
    <t>steven</t>
  </si>
  <si>
    <t>steven@gmail.com</t>
  </si>
  <si>
    <t>17-07-2020 03:39</t>
  </si>
  <si>
    <t>paul</t>
  </si>
  <si>
    <t>paul@gmail.com</t>
  </si>
  <si>
    <t>17-07-2020 03:54</t>
  </si>
  <si>
    <t>andrew</t>
  </si>
  <si>
    <t>andrew@gmail.com</t>
  </si>
  <si>
    <t>17-07-2020 04:46</t>
  </si>
  <si>
    <t>harish</t>
  </si>
  <si>
    <t>harish@gmail.com</t>
  </si>
  <si>
    <t>21-07-2020 06:57</t>
  </si>
  <si>
    <t>khan</t>
  </si>
  <si>
    <t>khan@gmail.com</t>
  </si>
  <si>
    <t>21-07-2020 07:01</t>
  </si>
  <si>
    <t>koushik</t>
  </si>
  <si>
    <t>koushik@gmail.com</t>
  </si>
  <si>
    <t>21-07-2020 07:06</t>
  </si>
  <si>
    <t>22-07-2020 11:14</t>
  </si>
  <si>
    <t>vinay</t>
  </si>
  <si>
    <t>vinay@gmail.com</t>
  </si>
  <si>
    <t>22-07-2020 11:13</t>
  </si>
  <si>
    <t>sasi</t>
  </si>
  <si>
    <t>sasi@gmail.com</t>
  </si>
  <si>
    <t>venkey</t>
  </si>
  <si>
    <t>venkey@gmail.com</t>
  </si>
  <si>
    <t>20-04-2021 11:53</t>
  </si>
  <si>
    <t>Ramu</t>
  </si>
  <si>
    <t>Ramu@gmail.com</t>
  </si>
  <si>
    <t>pavan</t>
  </si>
  <si>
    <t>pavan@gmail.com</t>
  </si>
  <si>
    <t>anil</t>
  </si>
  <si>
    <t>anil@gmail.com</t>
  </si>
  <si>
    <t>sunil</t>
  </si>
  <si>
    <t>sunil@gmail.com</t>
  </si>
  <si>
    <t>sudheer</t>
  </si>
  <si>
    <t>sudheer@gmail.com</t>
  </si>
  <si>
    <t>vamsi</t>
  </si>
  <si>
    <t>vamsi@gmail.com</t>
  </si>
  <si>
    <t>shanmuk</t>
  </si>
  <si>
    <t>shanmuk@gmail.com</t>
  </si>
  <si>
    <t>narasimha</t>
  </si>
  <si>
    <t>narasimha@gmail.com</t>
  </si>
  <si>
    <t>mani</t>
  </si>
  <si>
    <t>mani@gmail.com</t>
  </si>
  <si>
    <t>deepu</t>
  </si>
  <si>
    <t>deepu@gmail.com</t>
  </si>
  <si>
    <t>krishna</t>
  </si>
  <si>
    <t>krishna@gmail.com</t>
  </si>
  <si>
    <t>17-08-2020 16:17</t>
  </si>
  <si>
    <t>dinesh</t>
  </si>
  <si>
    <t>dinesh@gmail.com</t>
  </si>
  <si>
    <t>sravan</t>
  </si>
  <si>
    <t>sravan@gmail.com</t>
  </si>
  <si>
    <t>18-08-2020 08:20</t>
  </si>
  <si>
    <t>keeneth</t>
  </si>
  <si>
    <t>keeneth@gmail.com</t>
  </si>
  <si>
    <t>18-08-2020 08:54</t>
  </si>
  <si>
    <t>yatin</t>
  </si>
  <si>
    <t>yatin@gmail.com</t>
  </si>
  <si>
    <t>23-08-2020 09:40</t>
  </si>
  <si>
    <t>23-08-2020 09:52</t>
  </si>
  <si>
    <t>kaveen</t>
  </si>
  <si>
    <t>23-08-2020 09:44</t>
  </si>
  <si>
    <t>brian</t>
  </si>
  <si>
    <t>brian@gmail.com</t>
  </si>
  <si>
    <t>23-08-2020 09:54</t>
  </si>
  <si>
    <t>george</t>
  </si>
  <si>
    <t>george@gmail.com</t>
  </si>
  <si>
    <t>25-08-2020 14:33</t>
  </si>
  <si>
    <t>praneeth</t>
  </si>
  <si>
    <t>praneeth@gmail.com</t>
  </si>
  <si>
    <t>25-08-2020 15:02</t>
  </si>
  <si>
    <t>praveen</t>
  </si>
  <si>
    <t>praveen@gmail.com</t>
  </si>
  <si>
    <t>26-11-2020 08:17</t>
  </si>
  <si>
    <t>pranay</t>
  </si>
  <si>
    <t>pranay@gmail.com</t>
  </si>
  <si>
    <t>Raja</t>
  </si>
  <si>
    <t>Raja@gmail.com</t>
  </si>
  <si>
    <t>kalyan</t>
  </si>
  <si>
    <t>kalyan@gmail.com</t>
  </si>
  <si>
    <t>21-09-2020 08:43</t>
  </si>
  <si>
    <t>edward</t>
  </si>
  <si>
    <t>edward@gmail.com</t>
  </si>
  <si>
    <t>24-09-2020 15:24</t>
  </si>
  <si>
    <t>ronald</t>
  </si>
  <si>
    <t>ronald@gmail.com</t>
  </si>
  <si>
    <t>25-09-2020 10:12</t>
  </si>
  <si>
    <t>thimothi</t>
  </si>
  <si>
    <t>thimothi@gmail.com</t>
  </si>
  <si>
    <t>Reshma</t>
  </si>
  <si>
    <t>Reshma@gmail.com</t>
  </si>
  <si>
    <t>23-10-2020 08:46</t>
  </si>
  <si>
    <t>18-11-2020 11:18</t>
  </si>
  <si>
    <t>sekhar</t>
  </si>
  <si>
    <t>sekhar@gmail.com</t>
  </si>
  <si>
    <t>25-10-2020 12:02</t>
  </si>
  <si>
    <t>shankar</t>
  </si>
  <si>
    <t>shankar@gmail.com</t>
  </si>
  <si>
    <t>0207 036 6980</t>
  </si>
  <si>
    <t>25-10-2020 12:13</t>
  </si>
  <si>
    <t>subhash</t>
  </si>
  <si>
    <t>subhash@gmail.com</t>
  </si>
  <si>
    <t>26-10-2020 09:40</t>
  </si>
  <si>
    <t>harsha</t>
  </si>
  <si>
    <t>harsha@gmail.com</t>
  </si>
  <si>
    <t>29-10-2020 12:22</t>
  </si>
  <si>
    <t>ryan</t>
  </si>
  <si>
    <t>ryan@gmail.com</t>
  </si>
  <si>
    <t>29-10-2020 12:36</t>
  </si>
  <si>
    <t>jacob</t>
  </si>
  <si>
    <t>jacob@gmail.com</t>
  </si>
  <si>
    <t>grey</t>
  </si>
  <si>
    <t>18-11-2020 11:45</t>
  </si>
  <si>
    <t>nicholos</t>
  </si>
  <si>
    <t>nicholos@gmail.com</t>
  </si>
  <si>
    <t>eric</t>
  </si>
  <si>
    <t>eric@gmail.com</t>
  </si>
  <si>
    <t>23-11-2020 12:23</t>
  </si>
  <si>
    <t>larry</t>
  </si>
  <si>
    <t>larry@gmail.com</t>
  </si>
  <si>
    <t>26-11-2020 09:28</t>
  </si>
  <si>
    <t>justin</t>
  </si>
  <si>
    <t>justin@gmail.com</t>
  </si>
  <si>
    <t>scott</t>
  </si>
  <si>
    <t>scott@gmail.com</t>
  </si>
  <si>
    <t>16-12-2020 08:21</t>
  </si>
  <si>
    <t>badon</t>
  </si>
  <si>
    <t>badon@gmail.com</t>
  </si>
  <si>
    <t>22-12-2020 13:25</t>
  </si>
  <si>
    <t>ben</t>
  </si>
  <si>
    <t>ben@gmail.com</t>
  </si>
  <si>
    <t>samuel</t>
  </si>
  <si>
    <t>samuel@gmail.com</t>
  </si>
  <si>
    <t>nPBQuixO</t>
  </si>
  <si>
    <t>nPBQuixO@gmail.com</t>
  </si>
  <si>
    <t>frank</t>
  </si>
  <si>
    <t>frank@gmail.com</t>
  </si>
  <si>
    <t>alexender</t>
  </si>
  <si>
    <t>alexender@gmail.com</t>
  </si>
  <si>
    <t>16-03-2021 12:22</t>
  </si>
  <si>
    <t>Richard</t>
  </si>
  <si>
    <t>Richard@gmail.com</t>
  </si>
  <si>
    <t>raymon</t>
  </si>
  <si>
    <t>raymon@gmail.com</t>
  </si>
  <si>
    <t>14-04-2021 17:59</t>
  </si>
  <si>
    <t>patrick</t>
  </si>
  <si>
    <t>patrick@gmail.com</t>
  </si>
  <si>
    <t>14-04-2021 18:04</t>
  </si>
  <si>
    <t>jack</t>
  </si>
  <si>
    <t>jack@gmail.com</t>
  </si>
  <si>
    <t>19-04-2021 14:45</t>
  </si>
  <si>
    <t>jones</t>
  </si>
  <si>
    <t>jones@gmail.com</t>
  </si>
  <si>
    <t>20-04-2021 00:51</t>
  </si>
  <si>
    <t>clark</t>
  </si>
  <si>
    <t>clark@gmail.com</t>
  </si>
  <si>
    <t>20-04-2021 11:55</t>
  </si>
  <si>
    <t>mike</t>
  </si>
  <si>
    <t>mike@gmail.com</t>
  </si>
  <si>
    <t>23-04-2021 16:27</t>
  </si>
  <si>
    <t>21-05-2021 07:54</t>
  </si>
  <si>
    <t>tyler</t>
  </si>
  <si>
    <t>tyler@gmail.com</t>
  </si>
  <si>
    <t>27-05-2021 15:53</t>
  </si>
  <si>
    <t>aron</t>
  </si>
  <si>
    <t>aron@gmail.com</t>
  </si>
  <si>
    <t>jose</t>
  </si>
  <si>
    <t>jose@gmail.com</t>
  </si>
  <si>
    <t>14-06-2021 16:02</t>
  </si>
  <si>
    <t>adam</t>
  </si>
  <si>
    <t>adam@gmail.com</t>
  </si>
  <si>
    <t>22-06-2021 17:07</t>
  </si>
  <si>
    <t>walter</t>
  </si>
  <si>
    <t>walter@gmail.com</t>
  </si>
  <si>
    <t>jermey</t>
  </si>
  <si>
    <t>jermey@gmail.com</t>
  </si>
  <si>
    <t>jason</t>
  </si>
  <si>
    <t>jason@gmail.com</t>
  </si>
  <si>
    <t>18-07-2021 11:22</t>
  </si>
  <si>
    <t>18-07-2021 11:23</t>
  </si>
  <si>
    <t>18-07-2021 11:24</t>
  </si>
  <si>
    <t>18-07-2021 11:25</t>
  </si>
  <si>
    <t>18-07-2021 11:26</t>
  </si>
  <si>
    <t>18-07-2021 11:27</t>
  </si>
  <si>
    <t>18-07-2021 11:28</t>
  </si>
  <si>
    <t>18-07-2021 11:29</t>
  </si>
  <si>
    <t>18-07-2021 11:30</t>
  </si>
  <si>
    <t>18-07-2021 11:31</t>
  </si>
  <si>
    <t>18-07-2021 11:32</t>
  </si>
  <si>
    <t>18-07-2021 11:33</t>
  </si>
  <si>
    <t>18-07-2021 11:34</t>
  </si>
  <si>
    <t>18-07-2021 11:35</t>
  </si>
  <si>
    <t>18-07-2021 11:36</t>
  </si>
  <si>
    <t>18-07-2021 11:37</t>
  </si>
  <si>
    <t>name</t>
  </si>
  <si>
    <t>guard_name</t>
  </si>
  <si>
    <t>created_at</t>
  </si>
  <si>
    <t>updated_at</t>
  </si>
  <si>
    <t>web</t>
  </si>
  <si>
    <t>20-06-2019 05:41</t>
  </si>
  <si>
    <t>20-06-2019 05:43</t>
  </si>
  <si>
    <t>20-06-2019 05:45</t>
  </si>
  <si>
    <t>admin</t>
  </si>
  <si>
    <t>Department_id</t>
  </si>
  <si>
    <t>department_name</t>
  </si>
  <si>
    <t>department_code</t>
  </si>
  <si>
    <t>Human Resources</t>
  </si>
  <si>
    <t>ACC</t>
  </si>
  <si>
    <t>Quality Assurance</t>
  </si>
  <si>
    <t>QLA</t>
  </si>
  <si>
    <t>Advertising</t>
  </si>
  <si>
    <t>ADV</t>
  </si>
  <si>
    <t>Finances</t>
  </si>
  <si>
    <t>FIN</t>
  </si>
  <si>
    <t>Sales and Marketing</t>
  </si>
  <si>
    <t>SMG</t>
  </si>
  <si>
    <t>Legal Department</t>
  </si>
  <si>
    <t>LGD</t>
  </si>
  <si>
    <t>Customer Service</t>
  </si>
  <si>
    <t>CSR</t>
  </si>
  <si>
    <t>Currency - Have INR and Pound for Indian and UK Rest</t>
  </si>
  <si>
    <t>Map the Client IDs to restaurants</t>
  </si>
  <si>
    <t>Inactivated date is null for active restaurants</t>
  </si>
  <si>
    <t>Remove the red columns</t>
  </si>
  <si>
    <t>80% UK Restaurants and 20% Indian</t>
  </si>
  <si>
    <t>150 Restaurants is good</t>
  </si>
  <si>
    <t>Currency ID - Have the respective indian and uk currencies</t>
  </si>
  <si>
    <t>ID</t>
  </si>
  <si>
    <t>Name</t>
  </si>
  <si>
    <t>Legal_Name</t>
  </si>
  <si>
    <t>Is_Franchise</t>
  </si>
  <si>
    <t>Currency_id</t>
  </si>
  <si>
    <t>Client_id</t>
  </si>
  <si>
    <t>karhikeya dhabha</t>
  </si>
  <si>
    <t>16/08/19</t>
  </si>
  <si>
    <t>29/03/19</t>
  </si>
  <si>
    <t>southeran spice</t>
  </si>
  <si>
    <t>30/10/19</t>
  </si>
  <si>
    <t>Bollywood spice</t>
  </si>
  <si>
    <t>25/06/16</t>
  </si>
  <si>
    <t>05/03/19</t>
  </si>
  <si>
    <t>taj mahal</t>
  </si>
  <si>
    <t>31/12/20</t>
  </si>
  <si>
    <t>20/07/19</t>
  </si>
  <si>
    <t>indian masala</t>
  </si>
  <si>
    <t>19/06/19</t>
  </si>
  <si>
    <t>16/03/20</t>
  </si>
  <si>
    <t>spirit of chai</t>
  </si>
  <si>
    <t>19/05/19</t>
  </si>
  <si>
    <t>25/11/19</t>
  </si>
  <si>
    <t>roti mojo</t>
  </si>
  <si>
    <t>11/04/18</t>
  </si>
  <si>
    <t>04/07/17</t>
  </si>
  <si>
    <t>narayan mess</t>
  </si>
  <si>
    <t>01/11/19</t>
  </si>
  <si>
    <t>19/04/20</t>
  </si>
  <si>
    <t>North indian food</t>
  </si>
  <si>
    <t>22/10/19</t>
  </si>
  <si>
    <t>28/08/19</t>
  </si>
  <si>
    <t>Dominique Ansel Bakery</t>
  </si>
  <si>
    <t>04/07/19</t>
  </si>
  <si>
    <t>23/05/20</t>
  </si>
  <si>
    <t>the rain tree</t>
  </si>
  <si>
    <t>11/10/16</t>
  </si>
  <si>
    <t>23/04/20</t>
  </si>
  <si>
    <t>aish</t>
  </si>
  <si>
    <t>10/10/19</t>
  </si>
  <si>
    <t>26/06/17</t>
  </si>
  <si>
    <t>ambrai</t>
  </si>
  <si>
    <t>16/08/20</t>
  </si>
  <si>
    <t>23/06/19</t>
  </si>
  <si>
    <t>bademiya</t>
  </si>
  <si>
    <t>11/08/16</t>
  </si>
  <si>
    <t>17/04/20</t>
  </si>
  <si>
    <t>bawarchi</t>
  </si>
  <si>
    <t>14/06/17</t>
  </si>
  <si>
    <t>12/09/20</t>
  </si>
  <si>
    <t>barawan da dhabha</t>
  </si>
  <si>
    <t>02/01/19</t>
  </si>
  <si>
    <t>26/07/17</t>
  </si>
  <si>
    <t>black sheep baristo</t>
  </si>
  <si>
    <t>12/02/16</t>
  </si>
  <si>
    <t>07/01/20</t>
  </si>
  <si>
    <t>bhukara</t>
  </si>
  <si>
    <t>15/09/16</t>
  </si>
  <si>
    <t>25/02/19</t>
  </si>
  <si>
    <t>coffee palladio</t>
  </si>
  <si>
    <t>07/02/18</t>
  </si>
  <si>
    <t>22/09/18</t>
  </si>
  <si>
    <t>crystal restuarant</t>
  </si>
  <si>
    <t>30/01/17</t>
  </si>
  <si>
    <t>03/02/16</t>
  </si>
  <si>
    <t>the embassy</t>
  </si>
  <si>
    <t>21/05/20</t>
  </si>
  <si>
    <t>20/10/17</t>
  </si>
  <si>
    <t>the fatty bao</t>
  </si>
  <si>
    <t>20/08/18</t>
  </si>
  <si>
    <t>08/01/16</t>
  </si>
  <si>
    <t>ginger house</t>
  </si>
  <si>
    <t>24/05/19</t>
  </si>
  <si>
    <t>20/07/18</t>
  </si>
  <si>
    <t>hanwat mahal</t>
  </si>
  <si>
    <t>05/06/17</t>
  </si>
  <si>
    <t>07/03/16</t>
  </si>
  <si>
    <t>Hotel sarawana bhavan</t>
  </si>
  <si>
    <t>01/06/17</t>
  </si>
  <si>
    <t>Indian accent</t>
  </si>
  <si>
    <t>06/10/16</t>
  </si>
  <si>
    <t>09/09/19</t>
  </si>
  <si>
    <t>indigeo restaurant</t>
  </si>
  <si>
    <t>02/07/18</t>
  </si>
  <si>
    <t>01/11/17</t>
  </si>
  <si>
    <t>indigue</t>
  </si>
  <si>
    <t>23/07/16</t>
  </si>
  <si>
    <t>25/03/18</t>
  </si>
  <si>
    <t>Keiw pies</t>
  </si>
  <si>
    <t>20/07/17</t>
  </si>
  <si>
    <t>Keybar at fort</t>
  </si>
  <si>
    <t>11/11/17</t>
  </si>
  <si>
    <t>16/04/19</t>
  </si>
  <si>
    <t>La plate</t>
  </si>
  <si>
    <t>29/01/18</t>
  </si>
  <si>
    <t>15/02/19</t>
  </si>
  <si>
    <t>kulcha land</t>
  </si>
  <si>
    <t>26/10/17</t>
  </si>
  <si>
    <t>Lodi</t>
  </si>
  <si>
    <t>05/08/16</t>
  </si>
  <si>
    <t>07/02/17</t>
  </si>
  <si>
    <t>malabar junction</t>
  </si>
  <si>
    <t>27/10/19</t>
  </si>
  <si>
    <t>17/01/17</t>
  </si>
  <si>
    <t>Masala library</t>
  </si>
  <si>
    <t>08/03/17</t>
  </si>
  <si>
    <t>29/04/18</t>
  </si>
  <si>
    <t>masgue</t>
  </si>
  <si>
    <t>31/10/16</t>
  </si>
  <si>
    <t>24/05/16</t>
  </si>
  <si>
    <t>mavalli tiffin rooms</t>
  </si>
  <si>
    <t>03/11/18</t>
  </si>
  <si>
    <t>14/05/16</t>
  </si>
  <si>
    <t>Monkey bar</t>
  </si>
  <si>
    <t>10/07/19</t>
  </si>
  <si>
    <t>niros</t>
  </si>
  <si>
    <t>27/11/18</t>
  </si>
  <si>
    <t>10/08/18</t>
  </si>
  <si>
    <t>Nizams</t>
  </si>
  <si>
    <t>19/08/17</t>
  </si>
  <si>
    <t>22/09/19</t>
  </si>
  <si>
    <t>peter chat</t>
  </si>
  <si>
    <t>08/05/20</t>
  </si>
  <si>
    <t>12/02/20</t>
  </si>
  <si>
    <t>Qoot</t>
  </si>
  <si>
    <t>23/07/19</t>
  </si>
  <si>
    <t>19/05/17</t>
  </si>
  <si>
    <t>The rain tree</t>
  </si>
  <si>
    <t>16/12/20</t>
  </si>
  <si>
    <t>23/07/20</t>
  </si>
  <si>
    <t>Royal repast</t>
  </si>
  <si>
    <t>04/05/16</t>
  </si>
  <si>
    <t>25/10/16</t>
  </si>
  <si>
    <t>Cocochan</t>
  </si>
  <si>
    <t>13/07/20</t>
  </si>
  <si>
    <t>26/08/16</t>
  </si>
  <si>
    <t>sana d ge</t>
  </si>
  <si>
    <t>15/07/19</t>
  </si>
  <si>
    <t>03/08/18</t>
  </si>
  <si>
    <t>sheesh mahal</t>
  </si>
  <si>
    <t>08/01/20</t>
  </si>
  <si>
    <t>01/04/20</t>
  </si>
  <si>
    <t>the table</t>
  </si>
  <si>
    <t>22/05/17</t>
  </si>
  <si>
    <t>14/04/18</t>
  </si>
  <si>
    <t>thalassa</t>
  </si>
  <si>
    <t>06/11/19</t>
  </si>
  <si>
    <t>06/06/17</t>
  </si>
  <si>
    <t>toast and tonic</t>
  </si>
  <si>
    <t>05/11/17</t>
  </si>
  <si>
    <t>23/09/19</t>
  </si>
  <si>
    <t>trishna</t>
  </si>
  <si>
    <t>26/01/16</t>
  </si>
  <si>
    <t>24/05/20</t>
  </si>
  <si>
    <t>villa maya</t>
  </si>
  <si>
    <t>25/02/20</t>
  </si>
  <si>
    <t>21/10/16</t>
  </si>
  <si>
    <t>villa shanthi</t>
  </si>
  <si>
    <t>04/08/19</t>
  </si>
  <si>
    <t>18/03/19</t>
  </si>
  <si>
    <t>the water front</t>
  </si>
  <si>
    <t>23/01/20</t>
  </si>
  <si>
    <t>05/06/19</t>
  </si>
  <si>
    <t>my roti place</t>
  </si>
  <si>
    <t>13/09/20</t>
  </si>
  <si>
    <t>21/02/16</t>
  </si>
  <si>
    <t>cari mela</t>
  </si>
  <si>
    <t>12/11/20</t>
  </si>
  <si>
    <t>06/05/20</t>
  </si>
  <si>
    <t>haveli restaurant</t>
  </si>
  <si>
    <t>15/11/20</t>
  </si>
  <si>
    <t>08/08/17</t>
  </si>
  <si>
    <t>soma grill</t>
  </si>
  <si>
    <t>03/10/16</t>
  </si>
  <si>
    <t>08/05/17</t>
  </si>
  <si>
    <t>supreme dosaa</t>
  </si>
  <si>
    <t>18/10/16</t>
  </si>
  <si>
    <t>30/09/19</t>
  </si>
  <si>
    <t>siver spoon</t>
  </si>
  <si>
    <t>04/12/17</t>
  </si>
  <si>
    <t>22/12/19</t>
  </si>
  <si>
    <t>Massis - Sheldon Square</t>
  </si>
  <si>
    <t>10/07/20</t>
  </si>
  <si>
    <t>03/06/16</t>
  </si>
  <si>
    <t>GB - Covent Garden BAR</t>
  </si>
  <si>
    <t>29/12/16</t>
  </si>
  <si>
    <t>little spice</t>
  </si>
  <si>
    <t>20/09/19</t>
  </si>
  <si>
    <t>25/08/16</t>
  </si>
  <si>
    <t>thandoori grill</t>
  </si>
  <si>
    <t>24/10/17</t>
  </si>
  <si>
    <t>20/12/17</t>
  </si>
  <si>
    <t>biryani depot</t>
  </si>
  <si>
    <t>21/01/16</t>
  </si>
  <si>
    <t>05/07/16</t>
  </si>
  <si>
    <t>Creams Franchising Ltd</t>
  </si>
  <si>
    <t>11/05/17</t>
  </si>
  <si>
    <t>01/10/17</t>
  </si>
  <si>
    <t>cafe krishna</t>
  </si>
  <si>
    <t>01/03/16</t>
  </si>
  <si>
    <t>15/07/17</t>
  </si>
  <si>
    <t>moti mahal</t>
  </si>
  <si>
    <t>22/12/18</t>
  </si>
  <si>
    <t>31/08/18</t>
  </si>
  <si>
    <t>Bexley Heath</t>
  </si>
  <si>
    <t>10/06/18</t>
  </si>
  <si>
    <t>04/06/20</t>
  </si>
  <si>
    <t>eastern twist</t>
  </si>
  <si>
    <t>05/02/18</t>
  </si>
  <si>
    <t>25/09/19</t>
  </si>
  <si>
    <t>22/04/16</t>
  </si>
  <si>
    <t>21/04/20</t>
  </si>
  <si>
    <t>thandoori house</t>
  </si>
  <si>
    <t>04/04/17</t>
  </si>
  <si>
    <t>28/07/18</t>
  </si>
  <si>
    <t>Maidstone</t>
  </si>
  <si>
    <t>17/11/19</t>
  </si>
  <si>
    <t>27/04/20</t>
  </si>
  <si>
    <t>samosa grill</t>
  </si>
  <si>
    <t>26/02/19</t>
  </si>
  <si>
    <t>10/05/20</t>
  </si>
  <si>
    <t>rajadhani sweets</t>
  </si>
  <si>
    <t>08/11/18</t>
  </si>
  <si>
    <t>04/09/17</t>
  </si>
  <si>
    <t>GB - FLOOZIE</t>
  </si>
  <si>
    <t>02/07/17</t>
  </si>
  <si>
    <t>19/02/20</t>
  </si>
  <si>
    <t>masala kitchen</t>
  </si>
  <si>
    <t>09/03/16</t>
  </si>
  <si>
    <t>11/11/18</t>
  </si>
  <si>
    <t>shalimar foods</t>
  </si>
  <si>
    <t>25/04/16</t>
  </si>
  <si>
    <t>05/02/17</t>
  </si>
  <si>
    <t>usmania grill</t>
  </si>
  <si>
    <t>14/06/18</t>
  </si>
  <si>
    <t>27/12/18</t>
  </si>
  <si>
    <t>khana khajana</t>
  </si>
  <si>
    <t>01/09/20</t>
  </si>
  <si>
    <t>13/03/17</t>
  </si>
  <si>
    <t>fast biryani</t>
  </si>
  <si>
    <t>07/01/16</t>
  </si>
  <si>
    <t>28/10/20</t>
  </si>
  <si>
    <t>desi masala</t>
  </si>
  <si>
    <t>19/01/17</t>
  </si>
  <si>
    <t>daal roti</t>
  </si>
  <si>
    <t>13/11/17</t>
  </si>
  <si>
    <t>02/03/18</t>
  </si>
  <si>
    <t>Rochester</t>
  </si>
  <si>
    <t>03/02/20</t>
  </si>
  <si>
    <t>08/10/18</t>
  </si>
  <si>
    <t>green chilli</t>
  </si>
  <si>
    <t>01/02/19</t>
  </si>
  <si>
    <t>28/08/18</t>
  </si>
  <si>
    <t>the mint</t>
  </si>
  <si>
    <t>17/07/18</t>
  </si>
  <si>
    <t>05/11/20</t>
  </si>
  <si>
    <t>indian delight</t>
  </si>
  <si>
    <t>22/11/18</t>
  </si>
  <si>
    <t>15/01/17</t>
  </si>
  <si>
    <t>03/02/19</t>
  </si>
  <si>
    <t>13/07/16</t>
  </si>
  <si>
    <t xml:space="preserve">dawat </t>
  </si>
  <si>
    <t>10/11/19</t>
  </si>
  <si>
    <t>02/04/16</t>
  </si>
  <si>
    <t>mirchi</t>
  </si>
  <si>
    <t>28/03/16</t>
  </si>
  <si>
    <t>30/07/19</t>
  </si>
  <si>
    <t>chaat cafe</t>
  </si>
  <si>
    <t>14/12/20</t>
  </si>
  <si>
    <t>02/01/16</t>
  </si>
  <si>
    <t>nawab restaurant</t>
  </si>
  <si>
    <t>14/09/16</t>
  </si>
  <si>
    <t>18/04/16</t>
  </si>
  <si>
    <t>thandoor express</t>
  </si>
  <si>
    <t>24/11/19</t>
  </si>
  <si>
    <t>dosa house</t>
  </si>
  <si>
    <t>22/11/19</t>
  </si>
  <si>
    <t>02/11/18</t>
  </si>
  <si>
    <t>lang</t>
  </si>
  <si>
    <t>lan_name</t>
  </si>
  <si>
    <t>country_alpha2_code</t>
  </si>
  <si>
    <t>country_code</t>
  </si>
  <si>
    <t>country_name</t>
  </si>
  <si>
    <t>EN</t>
  </si>
  <si>
    <t>ENGLISH</t>
  </si>
  <si>
    <t>AD</t>
  </si>
  <si>
    <t>AND</t>
  </si>
  <si>
    <t>Andorra</t>
  </si>
  <si>
    <t>AE</t>
  </si>
  <si>
    <t>ARE</t>
  </si>
  <si>
    <t>United Arab Emirates</t>
  </si>
  <si>
    <t>AF</t>
  </si>
  <si>
    <t>AFG</t>
  </si>
  <si>
    <t>Afghanistan</t>
  </si>
  <si>
    <t>AG</t>
  </si>
  <si>
    <t>ATG</t>
  </si>
  <si>
    <t>Antigua and Barbuda</t>
  </si>
  <si>
    <t>AI</t>
  </si>
  <si>
    <t>AIA</t>
  </si>
  <si>
    <t>Anguilla</t>
  </si>
  <si>
    <t>AL</t>
  </si>
  <si>
    <t>ALB</t>
  </si>
  <si>
    <t>Albania</t>
  </si>
  <si>
    <t>AM</t>
  </si>
  <si>
    <t>ARM</t>
  </si>
  <si>
    <t>Armenia</t>
  </si>
  <si>
    <t>AO</t>
  </si>
  <si>
    <t>AGO</t>
  </si>
  <si>
    <t>Angola</t>
  </si>
  <si>
    <t>AQ</t>
  </si>
  <si>
    <t>ATA</t>
  </si>
  <si>
    <t>Antarctica</t>
  </si>
  <si>
    <t>AR</t>
  </si>
  <si>
    <t>ARG</t>
  </si>
  <si>
    <t>Argentina</t>
  </si>
  <si>
    <t>AS</t>
  </si>
  <si>
    <t>ASM</t>
  </si>
  <si>
    <t>American Samoa</t>
  </si>
  <si>
    <t>AT</t>
  </si>
  <si>
    <t>AUT</t>
  </si>
  <si>
    <t>Austria</t>
  </si>
  <si>
    <t>11/04/17</t>
  </si>
  <si>
    <t>AU</t>
  </si>
  <si>
    <t>AUS</t>
  </si>
  <si>
    <t>Australia</t>
  </si>
  <si>
    <t>AW</t>
  </si>
  <si>
    <t>ABW</t>
  </si>
  <si>
    <t>Aruba</t>
  </si>
  <si>
    <t>AX</t>
  </si>
  <si>
    <t>ALA</t>
  </si>
  <si>
    <t>Aland Islands</t>
  </si>
  <si>
    <t>AZ</t>
  </si>
  <si>
    <t>AZE</t>
  </si>
  <si>
    <t>Azerbaijan</t>
  </si>
  <si>
    <t>06/09/18</t>
  </si>
  <si>
    <t>BA</t>
  </si>
  <si>
    <t>BIH</t>
  </si>
  <si>
    <t>Bosnia and Herzegovina</t>
  </si>
  <si>
    <t>BB</t>
  </si>
  <si>
    <t>BRB</t>
  </si>
  <si>
    <t>Barbados</t>
  </si>
  <si>
    <t>BD</t>
  </si>
  <si>
    <t>BGD</t>
  </si>
  <si>
    <t>Bangladesh</t>
  </si>
  <si>
    <t>BE</t>
  </si>
  <si>
    <t>BEL</t>
  </si>
  <si>
    <t>Belgium</t>
  </si>
  <si>
    <t>BF</t>
  </si>
  <si>
    <t>BFA</t>
  </si>
  <si>
    <t>Burkina Faso</t>
  </si>
  <si>
    <t>05/04/17</t>
  </si>
  <si>
    <t>BG</t>
  </si>
  <si>
    <t>BGR</t>
  </si>
  <si>
    <t>Bulgaria</t>
  </si>
  <si>
    <t>BH</t>
  </si>
  <si>
    <t>BHR</t>
  </si>
  <si>
    <t>Bahrain</t>
  </si>
  <si>
    <t>BI</t>
  </si>
  <si>
    <t>BDI</t>
  </si>
  <si>
    <t>Burundi</t>
  </si>
  <si>
    <t>BJ</t>
  </si>
  <si>
    <t>BEN</t>
  </si>
  <si>
    <t>Benin</t>
  </si>
  <si>
    <t>BL</t>
  </si>
  <si>
    <t>BLM</t>
  </si>
  <si>
    <t>Saint Barthelemy</t>
  </si>
  <si>
    <t>BM</t>
  </si>
  <si>
    <t>BMU</t>
  </si>
  <si>
    <t>Bermuda</t>
  </si>
  <si>
    <t>BN</t>
  </si>
  <si>
    <t>BRN</t>
  </si>
  <si>
    <t>Brunei Darussalam</t>
  </si>
  <si>
    <t>BO</t>
  </si>
  <si>
    <t>BOL</t>
  </si>
  <si>
    <t>Bolivia, Plurinational State of</t>
  </si>
  <si>
    <t>BQ</t>
  </si>
  <si>
    <t>BES</t>
  </si>
  <si>
    <t>Bonaire, Sint Eustatius and Saba</t>
  </si>
  <si>
    <t>BR</t>
  </si>
  <si>
    <t>BRA</t>
  </si>
  <si>
    <t>Brazil</t>
  </si>
  <si>
    <t>BS</t>
  </si>
  <si>
    <t>BHS</t>
  </si>
  <si>
    <t>Bahamas</t>
  </si>
  <si>
    <t>BT</t>
  </si>
  <si>
    <t>BTN</t>
  </si>
  <si>
    <t>Bhutan</t>
  </si>
  <si>
    <t>BV</t>
  </si>
  <si>
    <t>BVT</t>
  </si>
  <si>
    <t>Bouvet Island</t>
  </si>
  <si>
    <t>19/06/17</t>
  </si>
  <si>
    <t>BW</t>
  </si>
  <si>
    <t>BWA</t>
  </si>
  <si>
    <t>Botswana</t>
  </si>
  <si>
    <t>BY</t>
  </si>
  <si>
    <t>BLR</t>
  </si>
  <si>
    <t>Belarus</t>
  </si>
  <si>
    <t>BZ</t>
  </si>
  <si>
    <t>BLZ</t>
  </si>
  <si>
    <t>Belize</t>
  </si>
  <si>
    <t>CA</t>
  </si>
  <si>
    <t>CAN</t>
  </si>
  <si>
    <t>Canada</t>
  </si>
  <si>
    <t>04/03/20</t>
  </si>
  <si>
    <t>CC</t>
  </si>
  <si>
    <t>CCK</t>
  </si>
  <si>
    <t>Cocos (Keeling) Islands</t>
  </si>
  <si>
    <t>CD</t>
  </si>
  <si>
    <t>COD</t>
  </si>
  <si>
    <t>Congo, The Democratic Republic of The</t>
  </si>
  <si>
    <t>CF</t>
  </si>
  <si>
    <t>CAF</t>
  </si>
  <si>
    <t>Central African Republic</t>
  </si>
  <si>
    <t>CG</t>
  </si>
  <si>
    <t>COG</t>
  </si>
  <si>
    <t>Congo</t>
  </si>
  <si>
    <t>CH</t>
  </si>
  <si>
    <t>CHE</t>
  </si>
  <si>
    <t>Switzerland</t>
  </si>
  <si>
    <t>CI</t>
  </si>
  <si>
    <t>CIV</t>
  </si>
  <si>
    <t>Cote D'ivoire</t>
  </si>
  <si>
    <t>CK</t>
  </si>
  <si>
    <t>COK</t>
  </si>
  <si>
    <t>Cook Islands</t>
  </si>
  <si>
    <t>CL</t>
  </si>
  <si>
    <t>CHL</t>
  </si>
  <si>
    <t>Chile</t>
  </si>
  <si>
    <t>CM</t>
  </si>
  <si>
    <t>CMR</t>
  </si>
  <si>
    <t>Cameroon</t>
  </si>
  <si>
    <t>14/06/20</t>
  </si>
  <si>
    <t>CN</t>
  </si>
  <si>
    <t>CHN</t>
  </si>
  <si>
    <t>China</t>
  </si>
  <si>
    <t>CO</t>
  </si>
  <si>
    <t>COL</t>
  </si>
  <si>
    <t>Colombia</t>
  </si>
  <si>
    <t>CR</t>
  </si>
  <si>
    <t>CRI</t>
  </si>
  <si>
    <t>Costa Rica</t>
  </si>
  <si>
    <t>CU</t>
  </si>
  <si>
    <t>CUB</t>
  </si>
  <si>
    <t>Cuba</t>
  </si>
  <si>
    <t>CV</t>
  </si>
  <si>
    <t>CPV</t>
  </si>
  <si>
    <t>Cabo Verde</t>
  </si>
  <si>
    <t>CW</t>
  </si>
  <si>
    <t>CUW</t>
  </si>
  <si>
    <t>Curacao</t>
  </si>
  <si>
    <t>CX</t>
  </si>
  <si>
    <t>CXR</t>
  </si>
  <si>
    <t>Christmas Island</t>
  </si>
  <si>
    <t>CY</t>
  </si>
  <si>
    <t>CYP</t>
  </si>
  <si>
    <t>Cyprus</t>
  </si>
  <si>
    <t>CZ</t>
  </si>
  <si>
    <t>CZE</t>
  </si>
  <si>
    <t>Czech Republic</t>
  </si>
  <si>
    <t>DE</t>
  </si>
  <si>
    <t>DEU</t>
  </si>
  <si>
    <t>Germany</t>
  </si>
  <si>
    <t>DJ</t>
  </si>
  <si>
    <t>DJI</t>
  </si>
  <si>
    <t>Djibouti</t>
  </si>
  <si>
    <t>DK</t>
  </si>
  <si>
    <t>DNK</t>
  </si>
  <si>
    <t>Denmark</t>
  </si>
  <si>
    <t>14/01/19</t>
  </si>
  <si>
    <t>DM</t>
  </si>
  <si>
    <t>DMA</t>
  </si>
  <si>
    <t>Dominica</t>
  </si>
  <si>
    <t>DO</t>
  </si>
  <si>
    <t>DOM</t>
  </si>
  <si>
    <t>Dominican Republic</t>
  </si>
  <si>
    <t>28/11/19</t>
  </si>
  <si>
    <t>DZ</t>
  </si>
  <si>
    <t>DZA</t>
  </si>
  <si>
    <t>Algeria</t>
  </si>
  <si>
    <t>EC</t>
  </si>
  <si>
    <t>ECU</t>
  </si>
  <si>
    <t>Ecuador</t>
  </si>
  <si>
    <t>EE</t>
  </si>
  <si>
    <t>EST</t>
  </si>
  <si>
    <t>Estonia</t>
  </si>
  <si>
    <t>EG</t>
  </si>
  <si>
    <t>EGY</t>
  </si>
  <si>
    <t>Egypt</t>
  </si>
  <si>
    <t>EH</t>
  </si>
  <si>
    <t>ESH</t>
  </si>
  <si>
    <t>Western Sahara</t>
  </si>
  <si>
    <t>ER</t>
  </si>
  <si>
    <t>ERI</t>
  </si>
  <si>
    <t>Eritrea</t>
  </si>
  <si>
    <t>ES</t>
  </si>
  <si>
    <t>ESP</t>
  </si>
  <si>
    <t>Spain</t>
  </si>
  <si>
    <t>ET</t>
  </si>
  <si>
    <t>ETH</t>
  </si>
  <si>
    <t>Ethiopia</t>
  </si>
  <si>
    <t>FI</t>
  </si>
  <si>
    <t>Finland</t>
  </si>
  <si>
    <t>FJ</t>
  </si>
  <si>
    <t>FJI</t>
  </si>
  <si>
    <t>Fiji</t>
  </si>
  <si>
    <t>FK</t>
  </si>
  <si>
    <t>FLK</t>
  </si>
  <si>
    <t>Falkland Islands (Malvinas)</t>
  </si>
  <si>
    <t>FM</t>
  </si>
  <si>
    <t>FSM</t>
  </si>
  <si>
    <t>Micronesia, Federated States of</t>
  </si>
  <si>
    <t>FO</t>
  </si>
  <si>
    <t>FRO</t>
  </si>
  <si>
    <t>Faroe Islands</t>
  </si>
  <si>
    <t>FR</t>
  </si>
  <si>
    <t>FRA</t>
  </si>
  <si>
    <t>France</t>
  </si>
  <si>
    <t>GA</t>
  </si>
  <si>
    <t>GAB</t>
  </si>
  <si>
    <t>Gabon</t>
  </si>
  <si>
    <t>GB</t>
  </si>
  <si>
    <t>GBR</t>
  </si>
  <si>
    <t>United Kingdom</t>
  </si>
  <si>
    <t>GD</t>
  </si>
  <si>
    <t>GRD</t>
  </si>
  <si>
    <t>Grenada</t>
  </si>
  <si>
    <t>GE</t>
  </si>
  <si>
    <t>GEO</t>
  </si>
  <si>
    <t>Georgia</t>
  </si>
  <si>
    <t>GF</t>
  </si>
  <si>
    <t>GUF</t>
  </si>
  <si>
    <t>French Guiana</t>
  </si>
  <si>
    <t>25/03/17</t>
  </si>
  <si>
    <t>GG</t>
  </si>
  <si>
    <t>GGY</t>
  </si>
  <si>
    <t>Guernsey</t>
  </si>
  <si>
    <t>GH</t>
  </si>
  <si>
    <t>GHA</t>
  </si>
  <si>
    <t>Ghana</t>
  </si>
  <si>
    <t>GI</t>
  </si>
  <si>
    <t>GIB</t>
  </si>
  <si>
    <t>Gibraltar</t>
  </si>
  <si>
    <t>GL</t>
  </si>
  <si>
    <t>GRL</t>
  </si>
  <si>
    <t>Greenland</t>
  </si>
  <si>
    <t>GM</t>
  </si>
  <si>
    <t>GMB</t>
  </si>
  <si>
    <t>Gambia</t>
  </si>
  <si>
    <t>30/01/19</t>
  </si>
  <si>
    <t>GN</t>
  </si>
  <si>
    <t>GIN</t>
  </si>
  <si>
    <t>Guinea</t>
  </si>
  <si>
    <t>GP</t>
  </si>
  <si>
    <t>GLP</t>
  </si>
  <si>
    <t>Guadeloupe</t>
  </si>
  <si>
    <t>GQ</t>
  </si>
  <si>
    <t>GNQ</t>
  </si>
  <si>
    <t>Equatorial Guinea</t>
  </si>
  <si>
    <t>GR</t>
  </si>
  <si>
    <t>GRC</t>
  </si>
  <si>
    <t>Greece</t>
  </si>
  <si>
    <t>10/01/17</t>
  </si>
  <si>
    <t>GS</t>
  </si>
  <si>
    <t>SGS</t>
  </si>
  <si>
    <t>South Georgia and The South Sandwich Islands</t>
  </si>
  <si>
    <t>GT</t>
  </si>
  <si>
    <t>GTM</t>
  </si>
  <si>
    <t>Guatemala</t>
  </si>
  <si>
    <t>GU</t>
  </si>
  <si>
    <t>GUM</t>
  </si>
  <si>
    <t>Guam</t>
  </si>
  <si>
    <t>GW</t>
  </si>
  <si>
    <t>GNB</t>
  </si>
  <si>
    <t>Guinea-Bissau</t>
  </si>
  <si>
    <t>GY</t>
  </si>
  <si>
    <t>GUY</t>
  </si>
  <si>
    <t>Guyana</t>
  </si>
  <si>
    <t>HK</t>
  </si>
  <si>
    <t>HKG</t>
  </si>
  <si>
    <t>Hong Kong</t>
  </si>
  <si>
    <t>04/01/16</t>
  </si>
  <si>
    <t>HM</t>
  </si>
  <si>
    <t>HMD</t>
  </si>
  <si>
    <t>Heard Island and Mcdonald Islands</t>
  </si>
  <si>
    <t>HN</t>
  </si>
  <si>
    <t>HND</t>
  </si>
  <si>
    <t>Honduras</t>
  </si>
  <si>
    <t>HR</t>
  </si>
  <si>
    <t>HRV</t>
  </si>
  <si>
    <t>Croatia</t>
  </si>
  <si>
    <t>HT</t>
  </si>
  <si>
    <t>HTI</t>
  </si>
  <si>
    <t>Haiti</t>
  </si>
  <si>
    <t>HU</t>
  </si>
  <si>
    <t>HUN</t>
  </si>
  <si>
    <t>Hungary</t>
  </si>
  <si>
    <t>IDN</t>
  </si>
  <si>
    <t>Indonesia</t>
  </si>
  <si>
    <t>IE</t>
  </si>
  <si>
    <t>IRL</t>
  </si>
  <si>
    <t>Ireland</t>
  </si>
  <si>
    <t>IL</t>
  </si>
  <si>
    <t>ISR</t>
  </si>
  <si>
    <t>Israel</t>
  </si>
  <si>
    <t>IM</t>
  </si>
  <si>
    <t>IMN</t>
  </si>
  <si>
    <t>Isle of Man</t>
  </si>
  <si>
    <t>IN</t>
  </si>
  <si>
    <t>IND</t>
  </si>
  <si>
    <t>India</t>
  </si>
  <si>
    <t>IO</t>
  </si>
  <si>
    <t>IOT</t>
  </si>
  <si>
    <t>British Indian Ocean Territory</t>
  </si>
  <si>
    <t>13/03/20</t>
  </si>
  <si>
    <t>IQ</t>
  </si>
  <si>
    <t>IRQ</t>
  </si>
  <si>
    <t>Iraq</t>
  </si>
  <si>
    <t>09/07/19</t>
  </si>
  <si>
    <t>IR</t>
  </si>
  <si>
    <t>IRN</t>
  </si>
  <si>
    <t>Iran, Islamic Republic of</t>
  </si>
  <si>
    <t>IS</t>
  </si>
  <si>
    <t>ISL</t>
  </si>
  <si>
    <t>Iceland</t>
  </si>
  <si>
    <t>IT</t>
  </si>
  <si>
    <t>ITA</t>
  </si>
  <si>
    <t>Italy</t>
  </si>
  <si>
    <t>JE</t>
  </si>
  <si>
    <t>JEY</t>
  </si>
  <si>
    <t>Jersey</t>
  </si>
  <si>
    <t>JM</t>
  </si>
  <si>
    <t>JAM</t>
  </si>
  <si>
    <t>Jamaica</t>
  </si>
  <si>
    <t>JO</t>
  </si>
  <si>
    <t>JOR</t>
  </si>
  <si>
    <t>Jordan</t>
  </si>
  <si>
    <t>JP</t>
  </si>
  <si>
    <t>JPN</t>
  </si>
  <si>
    <t>Japan</t>
  </si>
  <si>
    <t>27/08/20</t>
  </si>
  <si>
    <t>KE</t>
  </si>
  <si>
    <t>KEN</t>
  </si>
  <si>
    <t>Kenya</t>
  </si>
  <si>
    <t>21/08/20</t>
  </si>
  <si>
    <t>KG</t>
  </si>
  <si>
    <t>KGZ</t>
  </si>
  <si>
    <t>Kyrgyzstan</t>
  </si>
  <si>
    <t>KH</t>
  </si>
  <si>
    <t>KHM</t>
  </si>
  <si>
    <t>Cambodia</t>
  </si>
  <si>
    <t>KI</t>
  </si>
  <si>
    <t>KIR</t>
  </si>
  <si>
    <t>Kiribati</t>
  </si>
  <si>
    <t>KM</t>
  </si>
  <si>
    <t>COM</t>
  </si>
  <si>
    <t>Comoros</t>
  </si>
  <si>
    <t>21/06/18</t>
  </si>
  <si>
    <t>KN</t>
  </si>
  <si>
    <t>KNA</t>
  </si>
  <si>
    <t>Saint Kitts and Nevis</t>
  </si>
  <si>
    <t>KP</t>
  </si>
  <si>
    <t>PRK</t>
  </si>
  <si>
    <t>Korea, Democratic People's Republic of</t>
  </si>
  <si>
    <t>KR</t>
  </si>
  <si>
    <t>KOR</t>
  </si>
  <si>
    <t>Korea, Republic of</t>
  </si>
  <si>
    <t>KW</t>
  </si>
  <si>
    <t>KWT</t>
  </si>
  <si>
    <t>Kuwait</t>
  </si>
  <si>
    <t>KY</t>
  </si>
  <si>
    <t>CYM</t>
  </si>
  <si>
    <t>Cayman Islands</t>
  </si>
  <si>
    <t>KZ</t>
  </si>
  <si>
    <t>KAZ</t>
  </si>
  <si>
    <t>Kazakhstan</t>
  </si>
  <si>
    <t>07/07/20</t>
  </si>
  <si>
    <t>LA</t>
  </si>
  <si>
    <t>LAO</t>
  </si>
  <si>
    <t>Lao People's Democratic Republic</t>
  </si>
  <si>
    <t>LB</t>
  </si>
  <si>
    <t>LBN</t>
  </si>
  <si>
    <t>Lebanon</t>
  </si>
  <si>
    <t>14/10/17</t>
  </si>
  <si>
    <t>LC</t>
  </si>
  <si>
    <t>LCA</t>
  </si>
  <si>
    <t>Saint Lucia</t>
  </si>
  <si>
    <t>26/12/19</t>
  </si>
  <si>
    <t>LI</t>
  </si>
  <si>
    <t>LIE</t>
  </si>
  <si>
    <t>Liechtenstein</t>
  </si>
  <si>
    <t>21/06/19</t>
  </si>
  <si>
    <t>LK</t>
  </si>
  <si>
    <t>LKA</t>
  </si>
  <si>
    <t>Sri Lanka</t>
  </si>
  <si>
    <t>LR</t>
  </si>
  <si>
    <t>LBR</t>
  </si>
  <si>
    <t>Liberia</t>
  </si>
  <si>
    <t>02/06/17</t>
  </si>
  <si>
    <t>LS</t>
  </si>
  <si>
    <t>LSO</t>
  </si>
  <si>
    <t>Lesotho</t>
  </si>
  <si>
    <t>LT</t>
  </si>
  <si>
    <t>LTU</t>
  </si>
  <si>
    <t>Lithuania</t>
  </si>
  <si>
    <t>LU</t>
  </si>
  <si>
    <t>LUX</t>
  </si>
  <si>
    <t>Luxembourg</t>
  </si>
  <si>
    <t>LV</t>
  </si>
  <si>
    <t>LVA</t>
  </si>
  <si>
    <t>Latvia</t>
  </si>
  <si>
    <t>LY</t>
  </si>
  <si>
    <t>LBY</t>
  </si>
  <si>
    <t>Libya</t>
  </si>
  <si>
    <t>MA</t>
  </si>
  <si>
    <t>MAR</t>
  </si>
  <si>
    <t>Morocco</t>
  </si>
  <si>
    <t>MC</t>
  </si>
  <si>
    <t>MCO</t>
  </si>
  <si>
    <t>Monaco</t>
  </si>
  <si>
    <t>MD</t>
  </si>
  <si>
    <t>MDA</t>
  </si>
  <si>
    <t>Moldova, Republic of</t>
  </si>
  <si>
    <t>ME</t>
  </si>
  <si>
    <t>MNE</t>
  </si>
  <si>
    <t>Montenegro</t>
  </si>
  <si>
    <t>MF</t>
  </si>
  <si>
    <t>MAF</t>
  </si>
  <si>
    <t>Saint Martin (French Part)</t>
  </si>
  <si>
    <t>06/02/18</t>
  </si>
  <si>
    <t>MG</t>
  </si>
  <si>
    <t>MDG</t>
  </si>
  <si>
    <t>Madagascar</t>
  </si>
  <si>
    <t>MH</t>
  </si>
  <si>
    <t>MHL</t>
  </si>
  <si>
    <t>Marshall Islands</t>
  </si>
  <si>
    <t>MK</t>
  </si>
  <si>
    <t>MKD</t>
  </si>
  <si>
    <t>North Macedonia</t>
  </si>
  <si>
    <t>ML</t>
  </si>
  <si>
    <t>MLI</t>
  </si>
  <si>
    <t>Mali</t>
  </si>
  <si>
    <t>MM</t>
  </si>
  <si>
    <t>MMR</t>
  </si>
  <si>
    <t>Myanmar</t>
  </si>
  <si>
    <t>MN</t>
  </si>
  <si>
    <t>MNG</t>
  </si>
  <si>
    <t>Mongolia</t>
  </si>
  <si>
    <t>MO</t>
  </si>
  <si>
    <t>MAC</t>
  </si>
  <si>
    <t>Macao</t>
  </si>
  <si>
    <t>MP</t>
  </si>
  <si>
    <t>MNP</t>
  </si>
  <si>
    <t>Northern Mariana Islands</t>
  </si>
  <si>
    <t>MQ</t>
  </si>
  <si>
    <t>MTQ</t>
  </si>
  <si>
    <t>Martinique</t>
  </si>
  <si>
    <t>MR</t>
  </si>
  <si>
    <t>MRT</t>
  </si>
  <si>
    <t>Mauritania</t>
  </si>
  <si>
    <t>MS</t>
  </si>
  <si>
    <t>MSR</t>
  </si>
  <si>
    <t>Montserrat</t>
  </si>
  <si>
    <t>MT</t>
  </si>
  <si>
    <t>MLT</t>
  </si>
  <si>
    <t>Malta</t>
  </si>
  <si>
    <t>MU</t>
  </si>
  <si>
    <t>MUS</t>
  </si>
  <si>
    <t>Mauritius</t>
  </si>
  <si>
    <t>MV</t>
  </si>
  <si>
    <t>MDV</t>
  </si>
  <si>
    <t>Maldives</t>
  </si>
  <si>
    <t>MW</t>
  </si>
  <si>
    <t>MWI</t>
  </si>
  <si>
    <t>Malawi</t>
  </si>
  <si>
    <t>MX</t>
  </si>
  <si>
    <t>MEX</t>
  </si>
  <si>
    <t>Mexico</t>
  </si>
  <si>
    <t>MY</t>
  </si>
  <si>
    <t>MYS</t>
  </si>
  <si>
    <t>Malaysia</t>
  </si>
  <si>
    <t>MZ</t>
  </si>
  <si>
    <t>MOZ</t>
  </si>
  <si>
    <t>Mozambique</t>
  </si>
  <si>
    <t>28/11/18</t>
  </si>
  <si>
    <t>NA</t>
  </si>
  <si>
    <t>NAM</t>
  </si>
  <si>
    <t>Namibia</t>
  </si>
  <si>
    <t>NC</t>
  </si>
  <si>
    <t>NCL</t>
  </si>
  <si>
    <t>New Caledonia</t>
  </si>
  <si>
    <t>NE</t>
  </si>
  <si>
    <t>NER</t>
  </si>
  <si>
    <t>Niger</t>
  </si>
  <si>
    <t>NF</t>
  </si>
  <si>
    <t>NFK</t>
  </si>
  <si>
    <t>Norfolk Island</t>
  </si>
  <si>
    <t>NG</t>
  </si>
  <si>
    <t>NGA</t>
  </si>
  <si>
    <t>Nigeria</t>
  </si>
  <si>
    <t>NI</t>
  </si>
  <si>
    <t>NIC</t>
  </si>
  <si>
    <t>Nicaragua</t>
  </si>
  <si>
    <t>NL</t>
  </si>
  <si>
    <t>NLD</t>
  </si>
  <si>
    <t>Netherlands</t>
  </si>
  <si>
    <t>NO</t>
  </si>
  <si>
    <t>NOR</t>
  </si>
  <si>
    <t>Norway</t>
  </si>
  <si>
    <t>NP</t>
  </si>
  <si>
    <t>NPL</t>
  </si>
  <si>
    <t>Nepal</t>
  </si>
  <si>
    <t>01/02/16</t>
  </si>
  <si>
    <t>NR</t>
  </si>
  <si>
    <t>NRU</t>
  </si>
  <si>
    <t>Nauru</t>
  </si>
  <si>
    <t>NU</t>
  </si>
  <si>
    <t>NIU</t>
  </si>
  <si>
    <t>Niue</t>
  </si>
  <si>
    <t>NZ</t>
  </si>
  <si>
    <t>NZL</t>
  </si>
  <si>
    <t>New Zealand</t>
  </si>
  <si>
    <t>14/07/17</t>
  </si>
  <si>
    <t>OM</t>
  </si>
  <si>
    <t>OMN</t>
  </si>
  <si>
    <t>Oman</t>
  </si>
  <si>
    <t>PA</t>
  </si>
  <si>
    <t>PAN</t>
  </si>
  <si>
    <t>Panama</t>
  </si>
  <si>
    <t>PE</t>
  </si>
  <si>
    <t>PER</t>
  </si>
  <si>
    <t>Peru</t>
  </si>
  <si>
    <t>PF</t>
  </si>
  <si>
    <t>PYF</t>
  </si>
  <si>
    <t>French Polynesia</t>
  </si>
  <si>
    <t>PG</t>
  </si>
  <si>
    <t>PNG</t>
  </si>
  <si>
    <t>Papua New Guinea</t>
  </si>
  <si>
    <t>16/02/17</t>
  </si>
  <si>
    <t>PH</t>
  </si>
  <si>
    <t>PHL</t>
  </si>
  <si>
    <t>Philippines</t>
  </si>
  <si>
    <t>PK</t>
  </si>
  <si>
    <t>PAK</t>
  </si>
  <si>
    <t>Pakistan</t>
  </si>
  <si>
    <t>PL</t>
  </si>
  <si>
    <t>POL</t>
  </si>
  <si>
    <t>Poland</t>
  </si>
  <si>
    <t>20/02/16</t>
  </si>
  <si>
    <t>PM</t>
  </si>
  <si>
    <t>SPM</t>
  </si>
  <si>
    <t>Saint Pierre and Miquelon</t>
  </si>
  <si>
    <t>PN</t>
  </si>
  <si>
    <t>PCN</t>
  </si>
  <si>
    <t>Pitcairn</t>
  </si>
  <si>
    <t>PR</t>
  </si>
  <si>
    <t>PRI</t>
  </si>
  <si>
    <t>Puerto Rico</t>
  </si>
  <si>
    <t>PS</t>
  </si>
  <si>
    <t>PSE</t>
  </si>
  <si>
    <t>Palestine, State of</t>
  </si>
  <si>
    <t>PT</t>
  </si>
  <si>
    <t>PRT</t>
  </si>
  <si>
    <t>Portugal</t>
  </si>
  <si>
    <t>PW</t>
  </si>
  <si>
    <t>PLW</t>
  </si>
  <si>
    <t>Palau</t>
  </si>
  <si>
    <t>PY</t>
  </si>
  <si>
    <t>PRY</t>
  </si>
  <si>
    <t>Paraguay</t>
  </si>
  <si>
    <t>QA</t>
  </si>
  <si>
    <t>QAT</t>
  </si>
  <si>
    <t>Qatar</t>
  </si>
  <si>
    <t>RE</t>
  </si>
  <si>
    <t>REU</t>
  </si>
  <si>
    <t>Reunion</t>
  </si>
  <si>
    <t>RO</t>
  </si>
  <si>
    <t>ROU</t>
  </si>
  <si>
    <t>Romania</t>
  </si>
  <si>
    <t>RS</t>
  </si>
  <si>
    <t>SRB</t>
  </si>
  <si>
    <t>Serbia</t>
  </si>
  <si>
    <t>RU</t>
  </si>
  <si>
    <t>RUS</t>
  </si>
  <si>
    <t>Russian Federation</t>
  </si>
  <si>
    <t>RW</t>
  </si>
  <si>
    <t>RWA</t>
  </si>
  <si>
    <t>Rwanda</t>
  </si>
  <si>
    <t>SA</t>
  </si>
  <si>
    <t>SAU</t>
  </si>
  <si>
    <t>Saudi Arabia</t>
  </si>
  <si>
    <t>SB</t>
  </si>
  <si>
    <t>SLB</t>
  </si>
  <si>
    <t>Solomon Islands</t>
  </si>
  <si>
    <t>05/10/18</t>
  </si>
  <si>
    <t>SC</t>
  </si>
  <si>
    <t>SYC</t>
  </si>
  <si>
    <t>Seychelles</t>
  </si>
  <si>
    <t>SD</t>
  </si>
  <si>
    <t>SDN</t>
  </si>
  <si>
    <t>Sudan</t>
  </si>
  <si>
    <t>SE</t>
  </si>
  <si>
    <t>SWE</t>
  </si>
  <si>
    <t>Sweden</t>
  </si>
  <si>
    <t>SG</t>
  </si>
  <si>
    <t>SGP</t>
  </si>
  <si>
    <t>Singapore</t>
  </si>
  <si>
    <t>SH</t>
  </si>
  <si>
    <t>SHN</t>
  </si>
  <si>
    <t>Saint Helena, Ascension and Tristan Da Cunha</t>
  </si>
  <si>
    <t>SI</t>
  </si>
  <si>
    <t>SVN</t>
  </si>
  <si>
    <t>Slovenia</t>
  </si>
  <si>
    <t>SJ</t>
  </si>
  <si>
    <t>SJM</t>
  </si>
  <si>
    <t>Svalbard and Jan Mayen</t>
  </si>
  <si>
    <t>SK</t>
  </si>
  <si>
    <t>SVK</t>
  </si>
  <si>
    <t>Slovakia</t>
  </si>
  <si>
    <t>SL</t>
  </si>
  <si>
    <t>SLE</t>
  </si>
  <si>
    <t>Sierra Leone</t>
  </si>
  <si>
    <t>SM</t>
  </si>
  <si>
    <t>SMR</t>
  </si>
  <si>
    <t>San Marino</t>
  </si>
  <si>
    <t>SN</t>
  </si>
  <si>
    <t>SEN</t>
  </si>
  <si>
    <t>Senegal</t>
  </si>
  <si>
    <t>31/05/16</t>
  </si>
  <si>
    <t>SO</t>
  </si>
  <si>
    <t>SOM</t>
  </si>
  <si>
    <t>Somalia</t>
  </si>
  <si>
    <t>SR</t>
  </si>
  <si>
    <t>SUR</t>
  </si>
  <si>
    <t>Suriname</t>
  </si>
  <si>
    <t>SS</t>
  </si>
  <si>
    <t>SSD</t>
  </si>
  <si>
    <t>South Sudan</t>
  </si>
  <si>
    <t>ST</t>
  </si>
  <si>
    <t>STP</t>
  </si>
  <si>
    <t>Sao Tome and Principe</t>
  </si>
  <si>
    <t>SV</t>
  </si>
  <si>
    <t>SLV</t>
  </si>
  <si>
    <t>El Salvador</t>
  </si>
  <si>
    <t>SX</t>
  </si>
  <si>
    <t>SXM</t>
  </si>
  <si>
    <t>Sint Maarten (Dutch Part)</t>
  </si>
  <si>
    <t>SY</t>
  </si>
  <si>
    <t>SYR</t>
  </si>
  <si>
    <t>Syrian Arab Republic</t>
  </si>
  <si>
    <t>SZ</t>
  </si>
  <si>
    <t>SWZ</t>
  </si>
  <si>
    <t>Swaziland</t>
  </si>
  <si>
    <t>TC</t>
  </si>
  <si>
    <t>TCA</t>
  </si>
  <si>
    <t>Turks and Caicos Islands</t>
  </si>
  <si>
    <t>04/10/19</t>
  </si>
  <si>
    <t>TD</t>
  </si>
  <si>
    <t>TCD</t>
  </si>
  <si>
    <t>Chad</t>
  </si>
  <si>
    <t>TF</t>
  </si>
  <si>
    <t>ATF</t>
  </si>
  <si>
    <t>French Southern Territories</t>
  </si>
  <si>
    <t>TG</t>
  </si>
  <si>
    <t>TGO</t>
  </si>
  <si>
    <t>Togo</t>
  </si>
  <si>
    <t>TH</t>
  </si>
  <si>
    <t>THA</t>
  </si>
  <si>
    <t>Thailand</t>
  </si>
  <si>
    <t>TJ</t>
  </si>
  <si>
    <t>TJK</t>
  </si>
  <si>
    <t>Tajikistan</t>
  </si>
  <si>
    <t>TK</t>
  </si>
  <si>
    <t>TKL</t>
  </si>
  <si>
    <t>Tokelau</t>
  </si>
  <si>
    <t>TL</t>
  </si>
  <si>
    <t>TLS</t>
  </si>
  <si>
    <t>Timor-Leste</t>
  </si>
  <si>
    <t>TM</t>
  </si>
  <si>
    <t>TKM</t>
  </si>
  <si>
    <t>Turkmenistan</t>
  </si>
  <si>
    <t>TN</t>
  </si>
  <si>
    <t>TUN</t>
  </si>
  <si>
    <t>Tunisia</t>
  </si>
  <si>
    <t>TO</t>
  </si>
  <si>
    <t>TON</t>
  </si>
  <si>
    <t>Tonga</t>
  </si>
  <si>
    <t>TR</t>
  </si>
  <si>
    <t>TUR</t>
  </si>
  <si>
    <t>Turkey</t>
  </si>
  <si>
    <t>TT</t>
  </si>
  <si>
    <t>TTO</t>
  </si>
  <si>
    <t>Trinidad and Tobago</t>
  </si>
  <si>
    <t>TV</t>
  </si>
  <si>
    <t>TUV</t>
  </si>
  <si>
    <t>Tuvalu</t>
  </si>
  <si>
    <t>TW</t>
  </si>
  <si>
    <t>TWN</t>
  </si>
  <si>
    <t>Taiwan, Province of China</t>
  </si>
  <si>
    <t>TZ</t>
  </si>
  <si>
    <t>TZA</t>
  </si>
  <si>
    <t>Tanzania, United Republic of</t>
  </si>
  <si>
    <t>UA</t>
  </si>
  <si>
    <t>UKR</t>
  </si>
  <si>
    <t>Ukraine</t>
  </si>
  <si>
    <t>25/07/18</t>
  </si>
  <si>
    <t>UG</t>
  </si>
  <si>
    <t>UGA</t>
  </si>
  <si>
    <t>Uganda</t>
  </si>
  <si>
    <t>UM</t>
  </si>
  <si>
    <t>UMI</t>
  </si>
  <si>
    <t>United States Minor Outlying Islands</t>
  </si>
  <si>
    <t>US</t>
  </si>
  <si>
    <t>USA</t>
  </si>
  <si>
    <t>United States</t>
  </si>
  <si>
    <t>UY</t>
  </si>
  <si>
    <t>URY</t>
  </si>
  <si>
    <t>Uruguay</t>
  </si>
  <si>
    <t>UZ</t>
  </si>
  <si>
    <t>UZB</t>
  </si>
  <si>
    <t>Uzbekistan</t>
  </si>
  <si>
    <t>VA</t>
  </si>
  <si>
    <t>VAT</t>
  </si>
  <si>
    <t>Holy See</t>
  </si>
  <si>
    <t>VC</t>
  </si>
  <si>
    <t>VCT</t>
  </si>
  <si>
    <t>Saint Vincent and The Grenadines</t>
  </si>
  <si>
    <t>VE</t>
  </si>
  <si>
    <t>VEN</t>
  </si>
  <si>
    <t>Venezuela, Bolivarian Republic of</t>
  </si>
  <si>
    <t>VG</t>
  </si>
  <si>
    <t>VGB</t>
  </si>
  <si>
    <t>Virgin Islands, British</t>
  </si>
  <si>
    <t>VI</t>
  </si>
  <si>
    <t>VIR</t>
  </si>
  <si>
    <t>Virgin Islands, U.S.</t>
  </si>
  <si>
    <t>25/03/19</t>
  </si>
  <si>
    <t>VN</t>
  </si>
  <si>
    <t>VNM</t>
  </si>
  <si>
    <t>Viet Nam</t>
  </si>
  <si>
    <t>VU</t>
  </si>
  <si>
    <t>VUT</t>
  </si>
  <si>
    <t>Vanuatu</t>
  </si>
  <si>
    <t>27/06/18</t>
  </si>
  <si>
    <t>WF</t>
  </si>
  <si>
    <t>WLF</t>
  </si>
  <si>
    <t>Wallis and Futuna</t>
  </si>
  <si>
    <t>WS</t>
  </si>
  <si>
    <t>WSM</t>
  </si>
  <si>
    <t>Samoa</t>
  </si>
  <si>
    <t>YE</t>
  </si>
  <si>
    <t>YEM</t>
  </si>
  <si>
    <t>Yemen</t>
  </si>
  <si>
    <t>YT</t>
  </si>
  <si>
    <t>MYT</t>
  </si>
  <si>
    <t>Mayotte</t>
  </si>
  <si>
    <t>ZA</t>
  </si>
  <si>
    <t>ZAF</t>
  </si>
  <si>
    <t>South Africa</t>
  </si>
  <si>
    <t>ZM</t>
  </si>
  <si>
    <t>ZMB</t>
  </si>
  <si>
    <t>Zambia</t>
  </si>
  <si>
    <t>ZW</t>
  </si>
  <si>
    <t>ZWE</t>
  </si>
  <si>
    <t>Zimbabwe</t>
  </si>
  <si>
    <t>currency_id</t>
  </si>
  <si>
    <t>currency_type</t>
  </si>
  <si>
    <t>currency_symbol</t>
  </si>
  <si>
    <t>GBP</t>
  </si>
  <si>
    <t>£</t>
  </si>
  <si>
    <t>EUR</t>
  </si>
  <si>
    <t>€</t>
  </si>
  <si>
    <t>USD</t>
  </si>
  <si>
    <t>$</t>
  </si>
  <si>
    <t>INR</t>
  </si>
  <si>
    <t>primary_contact_id</t>
  </si>
  <si>
    <t>phone_no</t>
  </si>
  <si>
    <t>Karina</t>
  </si>
  <si>
    <t>Huff</t>
  </si>
  <si>
    <t>karina.huff@gmail.com</t>
  </si>
  <si>
    <t>0500 177494</t>
  </si>
  <si>
    <t>Jolie</t>
  </si>
  <si>
    <t>Rosales</t>
  </si>
  <si>
    <t>jolie.rosales@gmail.com</t>
  </si>
  <si>
    <t>0800 795 6572</t>
  </si>
  <si>
    <t>Deacon</t>
  </si>
  <si>
    <t>Branch</t>
  </si>
  <si>
    <t>deacon.branch@gmail.com</t>
  </si>
  <si>
    <t>0987 626 3969</t>
  </si>
  <si>
    <t>Nerea</t>
  </si>
  <si>
    <t>Lopez</t>
  </si>
  <si>
    <t>nerea.lopez@gmail.com</t>
  </si>
  <si>
    <t>0925 167 0671</t>
  </si>
  <si>
    <t>Derek</t>
  </si>
  <si>
    <t>Cervantes</t>
  </si>
  <si>
    <t>derek.cervantes@gmail.com</t>
  </si>
  <si>
    <t>0800 567 6974</t>
  </si>
  <si>
    <t>Ginger</t>
  </si>
  <si>
    <t>Olson</t>
  </si>
  <si>
    <t>ginger.olson@gmail.com</t>
  </si>
  <si>
    <t>0500 725658</t>
  </si>
  <si>
    <t>Ronan</t>
  </si>
  <si>
    <t>Reese</t>
  </si>
  <si>
    <t>ronan.reese@gmail.com</t>
  </si>
  <si>
    <t>0800 1111</t>
  </si>
  <si>
    <t>Callie</t>
  </si>
  <si>
    <t>Langley</t>
  </si>
  <si>
    <t>callie.langley@gmail.com</t>
  </si>
  <si>
    <t>0865 476 4235</t>
  </si>
  <si>
    <t>Quinlan</t>
  </si>
  <si>
    <t>Freeman</t>
  </si>
  <si>
    <t>quinlan.freeman@gmail.com</t>
  </si>
  <si>
    <t>Arthur</t>
  </si>
  <si>
    <t>Knox</t>
  </si>
  <si>
    <t>arthur.knox@gmail.com</t>
  </si>
  <si>
    <t>0500 526299</t>
  </si>
  <si>
    <t>Hakeem</t>
  </si>
  <si>
    <t>Sanford</t>
  </si>
  <si>
    <t>hakeem.sanford@gmail.com</t>
  </si>
  <si>
    <t>0844 715 5770</t>
  </si>
  <si>
    <t>Trevor</t>
  </si>
  <si>
    <t>Farmer</t>
  </si>
  <si>
    <t>trevor.farmer@gmail.com</t>
  </si>
  <si>
    <t>0800 118567</t>
  </si>
  <si>
    <t>Veronica</t>
  </si>
  <si>
    <t>Montoya</t>
  </si>
  <si>
    <t>veronica.montoya@gmail.com</t>
  </si>
  <si>
    <t>0800 457884</t>
  </si>
  <si>
    <t>Andrew</t>
  </si>
  <si>
    <t>Miller</t>
  </si>
  <si>
    <t>andrew.miller@gmail.com</t>
  </si>
  <si>
    <t>0800 854348</t>
  </si>
  <si>
    <t>Brynne</t>
  </si>
  <si>
    <t>Horn</t>
  </si>
  <si>
    <t>brynne.horn@gmail.com</t>
  </si>
  <si>
    <t>0800 340 1747</t>
  </si>
  <si>
    <t>Orla</t>
  </si>
  <si>
    <t>Giles</t>
  </si>
  <si>
    <t>orla.giles@gmail.com</t>
  </si>
  <si>
    <t>0988 425 4538</t>
  </si>
  <si>
    <t>Aline</t>
  </si>
  <si>
    <t>Atkins</t>
  </si>
  <si>
    <t>aline.atkins@gmail.com</t>
  </si>
  <si>
    <t>0800 639 9273</t>
  </si>
  <si>
    <t>Regina</t>
  </si>
  <si>
    <t>Castillo</t>
  </si>
  <si>
    <t>regina.castillo@gmail.com</t>
  </si>
  <si>
    <t>Tanner</t>
  </si>
  <si>
    <t>Flynn</t>
  </si>
  <si>
    <t>tanner.flynn@gmail.com</t>
  </si>
  <si>
    <t>0500 754466</t>
  </si>
  <si>
    <t>Holmes</t>
  </si>
  <si>
    <t>Dennis</t>
  </si>
  <si>
    <t>holmes.dennis@gmail.com</t>
  </si>
  <si>
    <t>0800 178221</t>
  </si>
  <si>
    <t>Dante</t>
  </si>
  <si>
    <t>England</t>
  </si>
  <si>
    <t>dante.england@gmail.com</t>
  </si>
  <si>
    <t>Lucy</t>
  </si>
  <si>
    <t>Rios</t>
  </si>
  <si>
    <t>lucy.rios@gmail.com</t>
  </si>
  <si>
    <t>0800 321228</t>
  </si>
  <si>
    <t>Gavin</t>
  </si>
  <si>
    <t>Ramirez</t>
  </si>
  <si>
    <t>gavin.ramirez@gmail.com</t>
  </si>
  <si>
    <t>0901 828 7365</t>
  </si>
  <si>
    <t>Regan</t>
  </si>
  <si>
    <t>Morgan</t>
  </si>
  <si>
    <t>regan.morgan@gmail.com</t>
  </si>
  <si>
    <t>0979 228 0018</t>
  </si>
  <si>
    <t>Donovan</t>
  </si>
  <si>
    <t>Hodges</t>
  </si>
  <si>
    <t>donovan.hodges@gmail.com</t>
  </si>
  <si>
    <t>0851 164 2482</t>
  </si>
  <si>
    <t>Jessica</t>
  </si>
  <si>
    <t>Reeves</t>
  </si>
  <si>
    <t>jessica.reeves@gmail.com</t>
  </si>
  <si>
    <t>Quynn</t>
  </si>
  <si>
    <t>Brady</t>
  </si>
  <si>
    <t>quynn.brady@gmail.com</t>
  </si>
  <si>
    <t>0800 486375</t>
  </si>
  <si>
    <t>Amir</t>
  </si>
  <si>
    <t>Peck</t>
  </si>
  <si>
    <t>amir.peck@gmail.com</t>
  </si>
  <si>
    <t>0800 330603</t>
  </si>
  <si>
    <t>Ava</t>
  </si>
  <si>
    <t>Stephenson</t>
  </si>
  <si>
    <t>ava.stephenson@gmail.com</t>
  </si>
  <si>
    <t>0949 267 0168</t>
  </si>
  <si>
    <t>Kyla</t>
  </si>
  <si>
    <t>Maldonado</t>
  </si>
  <si>
    <t>kyla.maldonado@gmail.com</t>
  </si>
  <si>
    <t>0876 678 3795</t>
  </si>
  <si>
    <t>Alfonso</t>
  </si>
  <si>
    <t>Mccoy</t>
  </si>
  <si>
    <t>alfonso.mccoy@gmail.com</t>
  </si>
  <si>
    <t>0886 677 9832</t>
  </si>
  <si>
    <t>Mona</t>
  </si>
  <si>
    <t>Bailey</t>
  </si>
  <si>
    <t>mona.bailey@gmail.com</t>
  </si>
  <si>
    <t>0800 296522</t>
  </si>
  <si>
    <t>Alan</t>
  </si>
  <si>
    <t>Davenport</t>
  </si>
  <si>
    <t>alan.davenport@gmail.com</t>
  </si>
  <si>
    <t>Juliet</t>
  </si>
  <si>
    <t>Petersen</t>
  </si>
  <si>
    <t>juliet.petersen@gmail.com</t>
  </si>
  <si>
    <t>0800 950372</t>
  </si>
  <si>
    <t>Shafira</t>
  </si>
  <si>
    <t>Phelps</t>
  </si>
  <si>
    <t>shafira.phelps@gmail.com</t>
  </si>
  <si>
    <t>0800 079567</t>
  </si>
  <si>
    <t>Vivien</t>
  </si>
  <si>
    <t>O'brien</t>
  </si>
  <si>
    <t>vivien.o'brien@gmail.com</t>
  </si>
  <si>
    <t>Abbot</t>
  </si>
  <si>
    <t>Jarvis</t>
  </si>
  <si>
    <t>abbot.jarvis@gmail.com</t>
  </si>
  <si>
    <t>0500 537849</t>
  </si>
  <si>
    <t>Boris</t>
  </si>
  <si>
    <t>Bowen</t>
  </si>
  <si>
    <t>boris.bowen@gmail.com</t>
  </si>
  <si>
    <t>0873 948 6962</t>
  </si>
  <si>
    <t>Reed</t>
  </si>
  <si>
    <t>Bright</t>
  </si>
  <si>
    <t>reed.bright@gmail.com</t>
  </si>
  <si>
    <t>0800 516 6767</t>
  </si>
  <si>
    <t>Galena</t>
  </si>
  <si>
    <t>Guthrie</t>
  </si>
  <si>
    <t>galena.guthrie@gmail.com</t>
  </si>
  <si>
    <t>Hedwig</t>
  </si>
  <si>
    <t>Huber</t>
  </si>
  <si>
    <t>hedwig.huber@gmail.com</t>
  </si>
  <si>
    <t>0800 406 2724</t>
  </si>
  <si>
    <t>Wylie</t>
  </si>
  <si>
    <t>Riley</t>
  </si>
  <si>
    <t>wylie.riley@gmail.com</t>
  </si>
  <si>
    <t>0800 864313</t>
  </si>
  <si>
    <t>Emmanuel</t>
  </si>
  <si>
    <t>Strickland</t>
  </si>
  <si>
    <t>emmanuel.strickland@gmail.com</t>
  </si>
  <si>
    <t>Nina</t>
  </si>
  <si>
    <t>Phillips</t>
  </si>
  <si>
    <t>nina.phillips@gmail.com</t>
  </si>
  <si>
    <t>0981 801 3606</t>
  </si>
  <si>
    <t>Solomon</t>
  </si>
  <si>
    <t>Barrera</t>
  </si>
  <si>
    <t>solomon.barrera@gmail.com</t>
  </si>
  <si>
    <t>0500 865048</t>
  </si>
  <si>
    <t>Hall</t>
  </si>
  <si>
    <t>Jenkins</t>
  </si>
  <si>
    <t>hall.jenkins@gmail.com</t>
  </si>
  <si>
    <t>0800 860 3026</t>
  </si>
  <si>
    <t>Kevin</t>
  </si>
  <si>
    <t>Burke</t>
  </si>
  <si>
    <t>kevin.burke@gmail.com</t>
  </si>
  <si>
    <t>0800 473924</t>
  </si>
  <si>
    <t>Jared</t>
  </si>
  <si>
    <t>Gallegos</t>
  </si>
  <si>
    <t>jared.gallegos@gmail.com</t>
  </si>
  <si>
    <t>0500 750925</t>
  </si>
  <si>
    <t>Stacy</t>
  </si>
  <si>
    <t>Lawson</t>
  </si>
  <si>
    <t>stacy.lawson@gmail.com</t>
  </si>
  <si>
    <t>0500 574887</t>
  </si>
  <si>
    <t>Martha</t>
  </si>
  <si>
    <t>Harrell</t>
  </si>
  <si>
    <t>martha.harrell@gmail.com</t>
  </si>
  <si>
    <t>Camille</t>
  </si>
  <si>
    <t>Mcgowan</t>
  </si>
  <si>
    <t>camille.mcgowan@gmail.com</t>
  </si>
  <si>
    <t>0971 977 3861</t>
  </si>
  <si>
    <t>Stuart</t>
  </si>
  <si>
    <t>Cortez</t>
  </si>
  <si>
    <t>stuart.cortez@gmail.com</t>
  </si>
  <si>
    <t>0826 251 6472</t>
  </si>
  <si>
    <t>Greene</t>
  </si>
  <si>
    <t>andrew.greene@gmail.com</t>
  </si>
  <si>
    <t>0898 581 2180</t>
  </si>
  <si>
    <t>Griffith</t>
  </si>
  <si>
    <t>Mack</t>
  </si>
  <si>
    <t>griffith.mack@gmail.com</t>
  </si>
  <si>
    <t>0800 595857</t>
  </si>
  <si>
    <t>Fleur</t>
  </si>
  <si>
    <t>Harding</t>
  </si>
  <si>
    <t>fleur.harding@gmail.com</t>
  </si>
  <si>
    <t>0800 686 1355</t>
  </si>
  <si>
    <t>Heath</t>
  </si>
  <si>
    <t>ava.heath@gmail.com</t>
  </si>
  <si>
    <t>0800 021677</t>
  </si>
  <si>
    <t>Underwood</t>
  </si>
  <si>
    <t>rose.underwood@gmail.com</t>
  </si>
  <si>
    <t>0800 451 1924</t>
  </si>
  <si>
    <t>Winifred</t>
  </si>
  <si>
    <t>Tucker</t>
  </si>
  <si>
    <t>winifred.tucker@gmail.com</t>
  </si>
  <si>
    <t>0802 658 4676</t>
  </si>
  <si>
    <t>Thornton</t>
  </si>
  <si>
    <t>riley.thornton@gmail.com</t>
  </si>
  <si>
    <t>Hu</t>
  </si>
  <si>
    <t>Mooney</t>
  </si>
  <si>
    <t>hu.mooney@gmail.com</t>
  </si>
  <si>
    <t>Venus</t>
  </si>
  <si>
    <t>Skinner</t>
  </si>
  <si>
    <t>venus.skinner@gmail.com</t>
  </si>
  <si>
    <t>0850 805 4877</t>
  </si>
  <si>
    <t>Garrett</t>
  </si>
  <si>
    <t>Hayes</t>
  </si>
  <si>
    <t>garrett.hayes@gmail.com</t>
  </si>
  <si>
    <t>0500 327835</t>
  </si>
  <si>
    <t>Hamish</t>
  </si>
  <si>
    <t>Hyde</t>
  </si>
  <si>
    <t>hamish.hyde@gmail.com</t>
  </si>
  <si>
    <t>0500 391141</t>
  </si>
  <si>
    <t>Noel</t>
  </si>
  <si>
    <t>stuart.noel@gmail.com</t>
  </si>
  <si>
    <t>0814 743 3117</t>
  </si>
  <si>
    <t>Mark</t>
  </si>
  <si>
    <t>Villarreal</t>
  </si>
  <si>
    <t>mark.villarreal@gmail.com</t>
  </si>
  <si>
    <t>0873 416 4720</t>
  </si>
  <si>
    <t>Warren</t>
  </si>
  <si>
    <t>Gilmore</t>
  </si>
  <si>
    <t>warren.gilmore@gmail.com</t>
  </si>
  <si>
    <t>0800 523760</t>
  </si>
  <si>
    <t>Plato</t>
  </si>
  <si>
    <t>Hess</t>
  </si>
  <si>
    <t>plato.hess@gmail.com</t>
  </si>
  <si>
    <t>0800 463797</t>
  </si>
  <si>
    <t>Sacha</t>
  </si>
  <si>
    <t>Charles</t>
  </si>
  <si>
    <t>sacha.charles@gmail.com</t>
  </si>
  <si>
    <t>0888 018 9777</t>
  </si>
  <si>
    <t>Quon</t>
  </si>
  <si>
    <t>Cain</t>
  </si>
  <si>
    <t>quon.cain@gmail.com</t>
  </si>
  <si>
    <t>0800 483 7456</t>
  </si>
  <si>
    <t>Camilla</t>
  </si>
  <si>
    <t>Keller</t>
  </si>
  <si>
    <t>camilla.keller@gmail.com</t>
  </si>
  <si>
    <t>0852 880 8625</t>
  </si>
  <si>
    <t>Gregory</t>
  </si>
  <si>
    <t>Bonner</t>
  </si>
  <si>
    <t>gregory.bonner@gmail.com</t>
  </si>
  <si>
    <t>0500 686388</t>
  </si>
  <si>
    <t>Bruce</t>
  </si>
  <si>
    <t>Aguirre</t>
  </si>
  <si>
    <t>bruce.aguirre@gmail.com</t>
  </si>
  <si>
    <t>0500 131148</t>
  </si>
  <si>
    <t>Dunlap</t>
  </si>
  <si>
    <t>donovan.dunlap@gmail.com</t>
  </si>
  <si>
    <t>0810 027 9732</t>
  </si>
  <si>
    <t>Buffy</t>
  </si>
  <si>
    <t>Bradshaw</t>
  </si>
  <si>
    <t>buffy.bradshaw@gmail.com</t>
  </si>
  <si>
    <t>0914 742 1671</t>
  </si>
  <si>
    <t>Rudyard</t>
  </si>
  <si>
    <t>Stanley</t>
  </si>
  <si>
    <t>rudyard.stanley@gmail.com</t>
  </si>
  <si>
    <t>0500 268078</t>
  </si>
  <si>
    <t>Lilah</t>
  </si>
  <si>
    <t>Buchanan</t>
  </si>
  <si>
    <t>lilah.buchanan@gmail.com</t>
  </si>
  <si>
    <t>0987 994 1126</t>
  </si>
  <si>
    <t>Brynn</t>
  </si>
  <si>
    <t>Webb</t>
  </si>
  <si>
    <t>brynn.webb@gmail.com</t>
  </si>
  <si>
    <t>0800 671338</t>
  </si>
  <si>
    <t>Elliott</t>
  </si>
  <si>
    <t>Berg</t>
  </si>
  <si>
    <t>elliott.berg@gmail.com</t>
  </si>
  <si>
    <t>0800 624 4882</t>
  </si>
  <si>
    <t>Tate</t>
  </si>
  <si>
    <t>Silva</t>
  </si>
  <si>
    <t>tate.silva@gmail.com</t>
  </si>
  <si>
    <t>0800 531 2230</t>
  </si>
  <si>
    <t>Stevens</t>
  </si>
  <si>
    <t>hu.stevens@gmail.com</t>
  </si>
  <si>
    <t>0800 433511</t>
  </si>
  <si>
    <t>Barbara</t>
  </si>
  <si>
    <t>Ward</t>
  </si>
  <si>
    <t>barbara.ward@gmail.com</t>
  </si>
  <si>
    <t>0800 608028</t>
  </si>
  <si>
    <t>Abdul</t>
  </si>
  <si>
    <t>Le</t>
  </si>
  <si>
    <t>abdul.le@gmail.com</t>
  </si>
  <si>
    <t>Margaret</t>
  </si>
  <si>
    <t>Sandoval</t>
  </si>
  <si>
    <t>margaret.sandoval@gmail.com</t>
  </si>
  <si>
    <t>0500 256272</t>
  </si>
  <si>
    <t>Faith</t>
  </si>
  <si>
    <t>Jefferson</t>
  </si>
  <si>
    <t>faith.jefferson@gmail.com</t>
  </si>
  <si>
    <t>0856 704 9284</t>
  </si>
  <si>
    <t>Gabriel</t>
  </si>
  <si>
    <t>Hunter</t>
  </si>
  <si>
    <t>gabriel.hunter@gmail.com</t>
  </si>
  <si>
    <t>Emerald</t>
  </si>
  <si>
    <t>Burch</t>
  </si>
  <si>
    <t>emerald.burch@gmail.com</t>
  </si>
  <si>
    <t>0864 883 1015</t>
  </si>
  <si>
    <t>Kareem</t>
  </si>
  <si>
    <t>Larsen</t>
  </si>
  <si>
    <t>kareem.larsen@gmail.com</t>
  </si>
  <si>
    <t>0946 826 4466</t>
  </si>
  <si>
    <t>Zoe</t>
  </si>
  <si>
    <t>Sharpe</t>
  </si>
  <si>
    <t>zoe.sharpe@gmail.com</t>
  </si>
  <si>
    <t>0831 128 8096</t>
  </si>
  <si>
    <t>Imani</t>
  </si>
  <si>
    <t>Wise</t>
  </si>
  <si>
    <t>imani.wise@gmail.com</t>
  </si>
  <si>
    <t>0800 818484</t>
  </si>
  <si>
    <t>Blythe</t>
  </si>
  <si>
    <t>Baldwin</t>
  </si>
  <si>
    <t>blythe.baldwin@gmail.com</t>
  </si>
  <si>
    <t>Beverly</t>
  </si>
  <si>
    <t>Blake</t>
  </si>
  <si>
    <t>beverly.blake@gmail.com</t>
  </si>
  <si>
    <t>Caldwell</t>
  </si>
  <si>
    <t>caldwell.warren@gmail.com</t>
  </si>
  <si>
    <t>Kevyn</t>
  </si>
  <si>
    <t>Nixon</t>
  </si>
  <si>
    <t>kevyn.nixon@gmail.com</t>
  </si>
  <si>
    <t>0500 324498</t>
  </si>
  <si>
    <t>Omar</t>
  </si>
  <si>
    <t>Richardson</t>
  </si>
  <si>
    <t>omar.richardson@gmail.com</t>
  </si>
  <si>
    <t>0500 622450</t>
  </si>
  <si>
    <t>Marsden</t>
  </si>
  <si>
    <t>Duran</t>
  </si>
  <si>
    <t>marsden.duran@gmail.com</t>
  </si>
  <si>
    <t>0500 376627</t>
  </si>
  <si>
    <t>Kelsie</t>
  </si>
  <si>
    <t>Alston</t>
  </si>
  <si>
    <t>kelsie.alston@gmail.com</t>
  </si>
  <si>
    <t>0800 785551</t>
  </si>
  <si>
    <t>Armando</t>
  </si>
  <si>
    <t>Moran</t>
  </si>
  <si>
    <t>armando.moran@gmail.com</t>
  </si>
  <si>
    <t>0500 133147</t>
  </si>
  <si>
    <t>Ann</t>
  </si>
  <si>
    <t>ann.phillips@gmail.com</t>
  </si>
  <si>
    <t>0500 617525</t>
  </si>
  <si>
    <t>Grant</t>
  </si>
  <si>
    <t>Joseph</t>
  </si>
  <si>
    <t>grant.joseph@gmail.com</t>
  </si>
  <si>
    <t>0871 368 3756</t>
  </si>
  <si>
    <t>Christen</t>
  </si>
  <si>
    <t>Carroll</t>
  </si>
  <si>
    <t>christen.carroll@gmail.com</t>
  </si>
  <si>
    <t>0812 466 5720</t>
  </si>
  <si>
    <t>cashup_id</t>
  </si>
  <si>
    <t>cashup_status</t>
  </si>
  <si>
    <t>match</t>
  </si>
  <si>
    <t>cashup_note_id</t>
  </si>
  <si>
    <t>reason</t>
  </si>
  <si>
    <t>$250 Deposit was paid today for next week event</t>
  </si>
  <si>
    <t>$480 Deposit was redeemed today</t>
  </si>
  <si>
    <t>2 Gift card sales</t>
  </si>
  <si>
    <t>3 Gift card sales</t>
  </si>
  <si>
    <t>4 Gift card sales</t>
  </si>
  <si>
    <t>$290 Deposit was redeemed today</t>
  </si>
  <si>
    <t>$320 Deposit was redeemed today</t>
  </si>
  <si>
    <t>Gross sales does n't match with total taken</t>
  </si>
  <si>
    <t>TO INVESTIGATE</t>
  </si>
  <si>
    <t>$250 Deposit was redeemed today</t>
  </si>
  <si>
    <t>Unsure</t>
  </si>
  <si>
    <t>5 Gift card sales</t>
  </si>
  <si>
    <t>6 Gift card sales</t>
  </si>
  <si>
    <t>problems with PDQ machine</t>
  </si>
  <si>
    <t>A total of $750 deposit was taken today for future bookings</t>
  </si>
  <si>
    <t>Was down last week so staff brought in money to make up for it</t>
  </si>
  <si>
    <t>eat out to help out</t>
  </si>
  <si>
    <t>eat out to help out $970. there is no option to enter this to sheet</t>
  </si>
  <si>
    <t>$290 Deposit was paid today for next week event</t>
  </si>
  <si>
    <t>$530Deposit was paid today for next week event</t>
  </si>
  <si>
    <t>$470 Deposit was paid today for next week event</t>
  </si>
  <si>
    <t>$640 Deposit was paid today for next week event</t>
  </si>
  <si>
    <t>$8900 Deposit was paid today for next week event</t>
  </si>
  <si>
    <t>banked_total</t>
  </si>
  <si>
    <t>banking_total</t>
  </si>
  <si>
    <t>banking_date</t>
  </si>
  <si>
    <t>banking_time_indicator</t>
  </si>
  <si>
    <t>employee_id</t>
  </si>
  <si>
    <t>reconcile_status</t>
  </si>
  <si>
    <t>sealed_by</t>
  </si>
  <si>
    <t>ALEX</t>
  </si>
  <si>
    <t>David</t>
  </si>
  <si>
    <t>John</t>
  </si>
  <si>
    <t>Cash n PDQ will include Petty Cash, Wage Advances</t>
  </si>
  <si>
    <t>Total Expenses (Petty Cash + Wage Advance)</t>
  </si>
  <si>
    <t>cash_n_pdq_id</t>
  </si>
  <si>
    <t>cashup_info_mode</t>
  </si>
  <si>
    <t>MANUAL</t>
  </si>
  <si>
    <t>amount</t>
  </si>
  <si>
    <t>bills</t>
  </si>
  <si>
    <t>sundries</t>
  </si>
  <si>
    <t>wage_advance_id</t>
  </si>
  <si>
    <t>sales_id</t>
  </si>
  <si>
    <t>creditcard_tip</t>
  </si>
  <si>
    <t>drinks_payment</t>
  </si>
  <si>
    <t>food_payment</t>
  </si>
  <si>
    <t>other_payment</t>
  </si>
  <si>
    <t>service_charges</t>
  </si>
  <si>
    <t>pdqmachines_id</t>
  </si>
  <si>
    <t>names</t>
  </si>
  <si>
    <t>pdq1</t>
  </si>
  <si>
    <t>18/03/16</t>
  </si>
  <si>
    <t>28/10/16</t>
  </si>
  <si>
    <t>27/11/20</t>
  </si>
  <si>
    <t>09/01/19</t>
  </si>
  <si>
    <t>11/08/17</t>
  </si>
  <si>
    <t>03/12/16</t>
  </si>
  <si>
    <t>06/06/19</t>
  </si>
  <si>
    <t>15/10/18</t>
  </si>
  <si>
    <t>24/09/16</t>
  </si>
  <si>
    <t>28/04/19</t>
  </si>
  <si>
    <t>11/12/20</t>
  </si>
  <si>
    <t>25/12/16</t>
  </si>
  <si>
    <t>30/05/17</t>
  </si>
  <si>
    <t>23/10/20</t>
  </si>
  <si>
    <t>11/08/20</t>
  </si>
  <si>
    <t>18/07/17</t>
  </si>
  <si>
    <t>25/12/18</t>
  </si>
  <si>
    <t>01/11/16</t>
  </si>
  <si>
    <t>02/11/17</t>
  </si>
  <si>
    <t>30/07/20</t>
  </si>
  <si>
    <t>22/06/17</t>
  </si>
  <si>
    <t>14/05/18</t>
  </si>
  <si>
    <t>06/08/16</t>
  </si>
  <si>
    <t>31/03/17</t>
  </si>
  <si>
    <t>01/12/19</t>
  </si>
  <si>
    <t>24/03/17</t>
  </si>
  <si>
    <t>24/09/20</t>
  </si>
  <si>
    <t>02/04/20</t>
  </si>
  <si>
    <t>29/09/16</t>
  </si>
  <si>
    <t>10/09/16</t>
  </si>
  <si>
    <t>12/05/19</t>
  </si>
  <si>
    <t>06/03/16</t>
  </si>
  <si>
    <t>21/01/17</t>
  </si>
  <si>
    <t>03/08/17</t>
  </si>
  <si>
    <t>15/05/16</t>
  </si>
  <si>
    <t>29/10/16</t>
  </si>
  <si>
    <t>01/03/17</t>
  </si>
  <si>
    <t>03/01/17</t>
  </si>
  <si>
    <t>30/05/16</t>
  </si>
  <si>
    <t>11/01/19</t>
  </si>
  <si>
    <t>24/12/17</t>
  </si>
  <si>
    <t>21/04/17</t>
  </si>
  <si>
    <t>09/08/16</t>
  </si>
  <si>
    <t>21/11/18</t>
  </si>
  <si>
    <t>29/12/20</t>
  </si>
  <si>
    <t>18/08/17</t>
  </si>
  <si>
    <t>30/12/18</t>
  </si>
  <si>
    <t>11/08/19</t>
  </si>
  <si>
    <t>18/11/16</t>
  </si>
  <si>
    <t>23/09/16</t>
  </si>
  <si>
    <t>28/12/20</t>
  </si>
  <si>
    <t>16/07/18</t>
  </si>
  <si>
    <t>29/12/17</t>
  </si>
  <si>
    <t>30/07/17</t>
  </si>
  <si>
    <t>10/09/17</t>
  </si>
  <si>
    <t>08/12/16</t>
  </si>
  <si>
    <t>02/08/20</t>
  </si>
  <si>
    <t>15/08/18</t>
  </si>
  <si>
    <t>23/12/16</t>
  </si>
  <si>
    <t>01/02/17</t>
  </si>
  <si>
    <t>24/03/16</t>
  </si>
  <si>
    <t>18/06/17</t>
  </si>
  <si>
    <t>06/01/16</t>
  </si>
  <si>
    <t>18/12/16</t>
  </si>
  <si>
    <t>22/03/17</t>
  </si>
  <si>
    <t>12/05/20</t>
  </si>
  <si>
    <t>02/08/16</t>
  </si>
  <si>
    <t>13/12/19</t>
  </si>
  <si>
    <t>17/02/20</t>
  </si>
  <si>
    <t>06/01/19</t>
  </si>
  <si>
    <t>09/10/16</t>
  </si>
  <si>
    <t>23/08/16</t>
  </si>
  <si>
    <t>17/04/16</t>
  </si>
  <si>
    <t>09/11/16</t>
  </si>
  <si>
    <t>09/08/19</t>
  </si>
  <si>
    <t>18/11/18</t>
  </si>
  <si>
    <t>vourchers</t>
  </si>
  <si>
    <t>29/12/18</t>
  </si>
  <si>
    <t>15/11/18</t>
  </si>
  <si>
    <t>06/07/18</t>
  </si>
  <si>
    <t>17/02/19</t>
  </si>
  <si>
    <t>09/04/19</t>
  </si>
  <si>
    <t>16/05/20</t>
  </si>
  <si>
    <t>15/07/20</t>
  </si>
  <si>
    <t>04/07/16</t>
  </si>
  <si>
    <t>27/01/17</t>
  </si>
  <si>
    <t>10/12/17</t>
  </si>
  <si>
    <t>04/09/19</t>
  </si>
  <si>
    <t>15/10/20</t>
  </si>
  <si>
    <t>03/08/19</t>
  </si>
  <si>
    <t>09/02/20</t>
  </si>
  <si>
    <t>16/01/20</t>
  </si>
  <si>
    <t>01/07/20</t>
  </si>
  <si>
    <t>07/11/20</t>
  </si>
  <si>
    <t>06/06/20</t>
  </si>
  <si>
    <t>27/07/18</t>
  </si>
  <si>
    <t>15/12/16</t>
  </si>
  <si>
    <t>04/02/19</t>
  </si>
  <si>
    <t>11/06/17</t>
  </si>
  <si>
    <t>26/12/20</t>
  </si>
  <si>
    <t>10/11/16</t>
  </si>
  <si>
    <t>18/10/19</t>
  </si>
  <si>
    <t>16/10/17</t>
  </si>
  <si>
    <t>30/01/16</t>
  </si>
  <si>
    <t>08/09/20</t>
  </si>
  <si>
    <t>15/01/19</t>
  </si>
  <si>
    <t>08/04/19</t>
  </si>
  <si>
    <t>11/05/16</t>
  </si>
  <si>
    <t>11/08/18</t>
  </si>
  <si>
    <t>28/03/18</t>
  </si>
  <si>
    <t>06/02/20</t>
  </si>
  <si>
    <t>28/11/17</t>
  </si>
  <si>
    <t>pdq2</t>
  </si>
  <si>
    <t>22/12/17</t>
  </si>
  <si>
    <t>17/06/17</t>
  </si>
  <si>
    <t>05/12/16</t>
  </si>
  <si>
    <t>07/09/19</t>
  </si>
  <si>
    <t>22/06/20</t>
  </si>
  <si>
    <t>12/01/19</t>
  </si>
  <si>
    <t>14/03/20</t>
  </si>
  <si>
    <t>01/03/18</t>
  </si>
  <si>
    <t>18/11/19</t>
  </si>
  <si>
    <t>05/10/16</t>
  </si>
  <si>
    <t>30/03/19</t>
  </si>
  <si>
    <t>24/08/19</t>
  </si>
  <si>
    <t>31/07/16</t>
  </si>
  <si>
    <t>01/07/16</t>
  </si>
  <si>
    <t>12/10/16</t>
  </si>
  <si>
    <t>28/03/19</t>
  </si>
  <si>
    <t>07/04/20</t>
  </si>
  <si>
    <t>06/04/20</t>
  </si>
  <si>
    <t>20/01/17</t>
  </si>
  <si>
    <t>21/08/17</t>
  </si>
  <si>
    <t>01/11/18</t>
  </si>
  <si>
    <t>16/03/17</t>
  </si>
  <si>
    <t>11/02/16</t>
  </si>
  <si>
    <t>10/12/18</t>
  </si>
  <si>
    <t>12/10/17</t>
  </si>
  <si>
    <t>17/02/17</t>
  </si>
  <si>
    <t>08/07/20</t>
  </si>
  <si>
    <t>18/12/18</t>
  </si>
  <si>
    <t>14/06/19</t>
  </si>
  <si>
    <t>06/03/17</t>
  </si>
  <si>
    <t>api_amount</t>
  </si>
  <si>
    <t>delivery_id</t>
  </si>
  <si>
    <t>Date</t>
  </si>
  <si>
    <t>wage advances</t>
  </si>
  <si>
    <t>repairs</t>
  </si>
  <si>
    <t>vendors</t>
  </si>
  <si>
    <t>Exp Date</t>
  </si>
  <si>
    <t>delivery_charges</t>
  </si>
  <si>
    <t>Front Office Staff</t>
  </si>
  <si>
    <t>Chef</t>
  </si>
  <si>
    <t>Supervisor</t>
  </si>
  <si>
    <t>Published</t>
  </si>
  <si>
    <t>tax</t>
  </si>
  <si>
    <t>banking_id</t>
  </si>
  <si>
    <t>cash_up_date</t>
  </si>
  <si>
    <t>expenses</t>
  </si>
  <si>
    <t>Justeats</t>
  </si>
  <si>
    <t>Ubereats</t>
  </si>
  <si>
    <t>delivery_date</t>
  </si>
  <si>
    <t>order_amount</t>
  </si>
  <si>
    <t>order_id</t>
  </si>
  <si>
    <t>order_total</t>
  </si>
  <si>
    <t>order_date</t>
  </si>
  <si>
    <t>order_type</t>
  </si>
  <si>
    <t>DineIn</t>
  </si>
  <si>
    <t>tax_amount</t>
  </si>
  <si>
    <t>drinks_amount</t>
  </si>
  <si>
    <t>food_amount</t>
  </si>
  <si>
    <t>order_time</t>
  </si>
  <si>
    <t>eod_amount</t>
  </si>
  <si>
    <t>bod_amount</t>
  </si>
  <si>
    <t>HomeDelivery</t>
  </si>
  <si>
    <t>restaurat_id</t>
  </si>
  <si>
    <t>expense_id</t>
  </si>
  <si>
    <t>UK</t>
  </si>
  <si>
    <t>Tax_Type</t>
  </si>
  <si>
    <t>country</t>
  </si>
  <si>
    <t>tax_type_id</t>
  </si>
  <si>
    <t>tax_percentage</t>
  </si>
  <si>
    <t>GST</t>
  </si>
  <si>
    <t>This is the expense paid to partner</t>
  </si>
  <si>
    <t>Expenses</t>
  </si>
  <si>
    <t>Deliveries</t>
  </si>
  <si>
    <t>Bankings</t>
  </si>
  <si>
    <t>₹</t>
  </si>
  <si>
    <t>Transformation Tracker</t>
  </si>
  <si>
    <t>Cleaning Status</t>
  </si>
  <si>
    <t>Null Value</t>
  </si>
  <si>
    <t>Multiple Lines</t>
  </si>
  <si>
    <t>Date Format</t>
  </si>
  <si>
    <t>Number Format</t>
  </si>
  <si>
    <t>Spellings</t>
  </si>
  <si>
    <t>Casing</t>
  </si>
  <si>
    <t>Condition</t>
  </si>
  <si>
    <t>Orders</t>
  </si>
  <si>
    <t>Contributer</t>
  </si>
  <si>
    <t>Co-Contributer</t>
  </si>
  <si>
    <t>Aniruddha Varunkar</t>
  </si>
  <si>
    <t>M Sai Ruthwik</t>
  </si>
  <si>
    <t>No Change</t>
  </si>
  <si>
    <t>Yahya Adhikari</t>
  </si>
  <si>
    <t>Rohith Saxena</t>
  </si>
  <si>
    <t>Team 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</si>
</sst>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.000"/>
    <numFmt numFmtId="165" formatCode="0.0000"/>
    <numFmt numFmtId="166" formatCode="_ [$₹-4009]\ * #,##0.00_ ;_ [$₹-4009]\ * \-#,##0.00_ ;_ [$₹-4009]\ * &quot;-&quot;??_ ;_ @_ 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B4C6E7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</borders>
  <cellStyleXfs count="3">
    <xf numFmtId="0" fontId="0" fillId="0" borderId="0"/>
    <xf numFmtId="0" fontId="10" fillId="0" borderId="0"/>
    <xf numFmtId="43" fontId="10" fillId="0" borderId="0" applyFont="0" applyFill="0" applyBorder="0" applyAlignment="0" applyProtection="0"/>
  </cellStyleXfs>
  <cellXfs count="95">
    <xf numFmtId="0" fontId="0" fillId="0" borderId="0" xfId="0"/>
    <xf numFmtId="0" fontId="0" fillId="2" borderId="0" xfId="0" applyFill="1"/>
    <xf numFmtId="164" fontId="0" fillId="0" borderId="0" xfId="0" applyNumberFormat="1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4" fillId="3" borderId="2" xfId="0" applyFont="1" applyFill="1" applyBorder="1" applyAlignment="1">
      <alignment horizontal="center" vertical="top"/>
    </xf>
    <xf numFmtId="0" fontId="4" fillId="3" borderId="2" xfId="0" applyFont="1" applyFill="1" applyBorder="1" applyAlignment="1">
      <alignment vertical="top"/>
    </xf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vertical="top"/>
    </xf>
    <xf numFmtId="0" fontId="0" fillId="2" borderId="0" xfId="0" applyFill="1" applyAlignment="1">
      <alignment horizontal="center"/>
    </xf>
    <xf numFmtId="165" fontId="0" fillId="0" borderId="0" xfId="0" applyNumberFormat="1"/>
    <xf numFmtId="2" fontId="0" fillId="0" borderId="0" xfId="0" applyNumberFormat="1"/>
    <xf numFmtId="2" fontId="0" fillId="2" borderId="0" xfId="0" applyNumberFormat="1" applyFill="1"/>
    <xf numFmtId="16" fontId="0" fillId="0" borderId="0" xfId="0" applyNumberFormat="1"/>
    <xf numFmtId="0" fontId="5" fillId="0" borderId="0" xfId="0" applyFont="1"/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0" fillId="5" borderId="0" xfId="0" applyFill="1"/>
    <xf numFmtId="0" fontId="5" fillId="0" borderId="0" xfId="0" applyFont="1" applyAlignment="1">
      <alignment horizontal="center"/>
    </xf>
    <xf numFmtId="0" fontId="5" fillId="2" borderId="1" xfId="0" applyFont="1" applyFill="1" applyBorder="1"/>
    <xf numFmtId="0" fontId="5" fillId="0" borderId="1" xfId="0" applyFont="1" applyBorder="1"/>
    <xf numFmtId="0" fontId="5" fillId="2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5" fillId="0" borderId="3" xfId="0" applyFont="1" applyBorder="1" applyAlignment="1">
      <alignment horizontal="left"/>
    </xf>
    <xf numFmtId="0" fontId="5" fillId="0" borderId="2" xfId="0" applyFont="1" applyBorder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/>
    <xf numFmtId="0" fontId="6" fillId="2" borderId="4" xfId="0" applyFont="1" applyFill="1" applyBorder="1" applyAlignment="1">
      <alignment horizontal="center"/>
    </xf>
    <xf numFmtId="0" fontId="7" fillId="2" borderId="1" xfId="0" applyFont="1" applyFill="1" applyBorder="1"/>
    <xf numFmtId="0" fontId="0" fillId="0" borderId="4" xfId="0" applyBorder="1" applyAlignment="1">
      <alignment horizontal="center"/>
    </xf>
    <xf numFmtId="0" fontId="0" fillId="0" borderId="4" xfId="0" applyBorder="1"/>
    <xf numFmtId="0" fontId="7" fillId="2" borderId="3" xfId="0" applyFont="1" applyFill="1" applyBorder="1"/>
    <xf numFmtId="22" fontId="5" fillId="0" borderId="1" xfId="0" applyNumberFormat="1" applyFont="1" applyBorder="1"/>
    <xf numFmtId="22" fontId="5" fillId="0" borderId="1" xfId="0" applyNumberFormat="1" applyFont="1" applyBorder="1" applyAlignment="1">
      <alignment horizontal="left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2" borderId="0" xfId="0" applyFill="1" applyAlignment="1">
      <alignment horizontal="center" vertical="top"/>
    </xf>
    <xf numFmtId="0" fontId="0" fillId="2" borderId="0" xfId="0" applyFill="1" applyAlignment="1">
      <alignment vertical="top"/>
    </xf>
    <xf numFmtId="0" fontId="0" fillId="4" borderId="0" xfId="0" applyFill="1" applyAlignment="1">
      <alignment vertical="top"/>
    </xf>
    <xf numFmtId="11" fontId="0" fillId="0" borderId="0" xfId="0" applyNumberFormat="1" applyAlignment="1">
      <alignment vertical="top"/>
    </xf>
    <xf numFmtId="0" fontId="0" fillId="2" borderId="3" xfId="0" applyFill="1" applyBorder="1" applyAlignment="1">
      <alignment vertical="top"/>
    </xf>
    <xf numFmtId="22" fontId="0" fillId="0" borderId="0" xfId="0" applyNumberFormat="1" applyAlignment="1">
      <alignment vertical="top"/>
    </xf>
    <xf numFmtId="0" fontId="0" fillId="0" borderId="3" xfId="0" applyBorder="1"/>
    <xf numFmtId="0" fontId="0" fillId="2" borderId="1" xfId="0" applyFill="1" applyBorder="1" applyAlignment="1">
      <alignment horizontal="center"/>
    </xf>
    <xf numFmtId="166" fontId="0" fillId="0" borderId="1" xfId="0" applyNumberFormat="1" applyBorder="1" applyAlignment="1">
      <alignment horizontal="left"/>
    </xf>
    <xf numFmtId="0" fontId="0" fillId="0" borderId="1" xfId="0" applyBorder="1" applyAlignment="1">
      <alignment wrapText="1"/>
    </xf>
    <xf numFmtId="166" fontId="0" fillId="0" borderId="1" xfId="0" applyNumberFormat="1" applyBorder="1" applyAlignment="1">
      <alignment horizontal="left" wrapText="1"/>
    </xf>
    <xf numFmtId="1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left" wrapText="1"/>
    </xf>
    <xf numFmtId="0" fontId="0" fillId="0" borderId="0" xfId="0" applyAlignment="1">
      <alignment vertical="top" wrapText="1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vertical="top"/>
    </xf>
    <xf numFmtId="0" fontId="8" fillId="3" borderId="2" xfId="0" applyFont="1" applyFill="1" applyBorder="1" applyAlignment="1">
      <alignment vertical="top" wrapText="1"/>
    </xf>
    <xf numFmtId="0" fontId="0" fillId="0" borderId="2" xfId="0" applyBorder="1" applyAlignment="1">
      <alignment horizontal="left" vertical="top" wrapText="1"/>
    </xf>
    <xf numFmtId="0" fontId="0" fillId="2" borderId="0" xfId="0" applyFill="1" applyAlignment="1">
      <alignment vertical="top" wrapText="1"/>
    </xf>
    <xf numFmtId="0" fontId="9" fillId="0" borderId="0" xfId="0" applyFont="1" applyAlignment="1">
      <alignment vertical="top"/>
    </xf>
    <xf numFmtId="14" fontId="0" fillId="0" borderId="0" xfId="0" applyNumberFormat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20" fontId="0" fillId="0" borderId="0" xfId="0" applyNumberFormat="1"/>
    <xf numFmtId="43" fontId="0" fillId="0" borderId="0" xfId="2" applyFont="1"/>
    <xf numFmtId="0" fontId="0" fillId="2" borderId="3" xfId="0" applyFill="1" applyBorder="1" applyAlignment="1">
      <alignment horizontal="center" vertical="top"/>
    </xf>
    <xf numFmtId="0" fontId="0" fillId="0" borderId="0" xfId="0" applyAlignment="1">
      <alignment horizontal="left" vertical="top"/>
    </xf>
    <xf numFmtId="0" fontId="0" fillId="2" borderId="3" xfId="0" applyFill="1" applyBorder="1" applyAlignment="1">
      <alignment horizontal="left" vertical="top"/>
    </xf>
    <xf numFmtId="22" fontId="0" fillId="0" borderId="0" xfId="0" applyNumberFormat="1" applyAlignment="1">
      <alignment horizontal="left" vertical="top"/>
    </xf>
    <xf numFmtId="0" fontId="6" fillId="4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9" fontId="2" fillId="0" borderId="0" xfId="0" applyNumberFormat="1" applyFont="1"/>
    <xf numFmtId="164" fontId="2" fillId="0" borderId="0" xfId="0" applyNumberFormat="1" applyFont="1"/>
    <xf numFmtId="0" fontId="1" fillId="0" borderId="0" xfId="0" applyFont="1"/>
    <xf numFmtId="0" fontId="1" fillId="0" borderId="5" xfId="0" applyFont="1" applyBorder="1" applyAlignment="1">
      <alignment wrapText="1"/>
    </xf>
    <xf numFmtId="0" fontId="1" fillId="0" borderId="5" xfId="0" applyFont="1" applyBorder="1" applyAlignment="1">
      <alignment horizontal="center" wrapText="1"/>
    </xf>
    <xf numFmtId="0" fontId="11" fillId="7" borderId="6" xfId="0" applyFont="1" applyFill="1" applyBorder="1" applyAlignment="1">
      <alignment horizontal="center" wrapText="1"/>
    </xf>
    <xf numFmtId="0" fontId="11" fillId="7" borderId="6" xfId="0" applyFont="1" applyFill="1" applyBorder="1" applyAlignment="1">
      <alignment wrapText="1"/>
    </xf>
    <xf numFmtId="0" fontId="1" fillId="8" borderId="6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wrapText="1"/>
    </xf>
    <xf numFmtId="0" fontId="1" fillId="8" borderId="6" xfId="0" applyFont="1" applyFill="1" applyBorder="1" applyAlignment="1">
      <alignment horizontal="center" wrapText="1"/>
    </xf>
    <xf numFmtId="0" fontId="1" fillId="9" borderId="6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wrapText="1"/>
    </xf>
    <xf numFmtId="0" fontId="1" fillId="9" borderId="6" xfId="0" applyFont="1" applyFill="1" applyBorder="1" applyAlignment="1">
      <alignment horizontal="center" wrapText="1"/>
    </xf>
    <xf numFmtId="166" fontId="0" fillId="0" borderId="3" xfId="0" applyNumberFormat="1" applyBorder="1"/>
    <xf numFmtId="0" fontId="13" fillId="6" borderId="0" xfId="0" applyFont="1" applyFill="1" applyAlignment="1">
      <alignment horizontal="center" vertical="center"/>
    </xf>
    <xf numFmtId="0" fontId="13" fillId="6" borderId="7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/>
    </xf>
    <xf numFmtId="0" fontId="12" fillId="0" borderId="9" xfId="0" applyFont="1" applyBorder="1" applyAlignment="1">
      <alignment horizontal="center"/>
    </xf>
  </cellXfs>
  <cellStyles count="3">
    <cellStyle name="Comma" xfId="2" builtinId="3"/>
    <cellStyle name="Normal" xfId="0" builtinId="0"/>
    <cellStyle name="Normal 2" xfId="1" xr:uid="{00000000-0005-0000-0000-000031000000}"/>
  </cellStyles>
  <dxfs count="9">
    <dxf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926D896-BFBA-47F0-8FA5-B9CE82884343}" name="Table7" displayName="Table7" ref="A1:C5" totalsRowShown="0" dataDxfId="8" tableBorderDxfId="7">
  <autoFilter ref="A1:C5" xr:uid="{A926D896-BFBA-47F0-8FA5-B9CE82884343}"/>
  <tableColumns count="3">
    <tableColumn id="1" xr3:uid="{AE20E1B1-2FD8-4398-8598-52BE6D79BAB4}" name="currency_id" dataDxfId="6"/>
    <tableColumn id="2" xr3:uid="{07718196-5A54-47A9-92C8-C35B9BF8A892}" name="currency_type" dataDxfId="5"/>
    <tableColumn id="3" xr3:uid="{482D208A-D596-4CB2-896B-93FDEE836500}" name="currency_symbol" dataDxfId="4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051073F-2C2C-4FFA-94CD-40ABC34C94B5}" name="Table9" displayName="Table9" ref="B3:E5" totalsRowShown="0">
  <autoFilter ref="B3:E5" xr:uid="{C051073F-2C2C-4FFA-94CD-40ABC34C94B5}"/>
  <tableColumns count="4">
    <tableColumn id="1" xr3:uid="{B092CA6C-8951-4B11-BB90-FFDDDEF27AC9}" name="tax_type_id" dataDxfId="3"/>
    <tableColumn id="2" xr3:uid="{CEBBDD27-47D0-4B1D-8CE5-00CA88A44732}" name="country" dataDxfId="2"/>
    <tableColumn id="3" xr3:uid="{35C68856-BE91-4679-B3C4-2E93779589BF}" name="Tax_Type" dataDxfId="1"/>
    <tableColumn id="4" xr3:uid="{0C8C7A9C-DF29-4E70-9366-4896E3640A1A}" name="tax_percentag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I31"/>
  <sheetViews>
    <sheetView tabSelected="1" workbookViewId="0"/>
  </sheetViews>
  <sheetFormatPr defaultColWidth="8.6640625" defaultRowHeight="14.4"/>
  <cols>
    <col min="1" max="1" width="3.33203125" style="38" customWidth="1"/>
    <col min="2" max="2" width="13.6640625" style="39" customWidth="1"/>
    <col min="3" max="3" width="31.6640625" style="38" customWidth="1"/>
    <col min="4" max="4" width="35.6640625" style="53" customWidth="1"/>
    <col min="5" max="5" width="8.44140625" style="38" customWidth="1"/>
    <col min="6" max="6" width="14" style="38" customWidth="1"/>
    <col min="7" max="7" width="16" style="38" customWidth="1"/>
    <col min="8" max="16384" width="8.6640625" style="38"/>
  </cols>
  <sheetData>
    <row r="2" spans="2:7">
      <c r="B2" s="54" t="s">
        <v>0</v>
      </c>
      <c r="C2" s="55" t="s">
        <v>5</v>
      </c>
      <c r="D2" s="56" t="s">
        <v>1</v>
      </c>
    </row>
    <row r="3" spans="2:7">
      <c r="B3" s="8">
        <v>1</v>
      </c>
      <c r="C3" s="10" t="s">
        <v>26</v>
      </c>
      <c r="D3" s="9"/>
    </row>
    <row r="4" spans="2:7">
      <c r="B4" s="8"/>
      <c r="C4" s="10" t="s">
        <v>27</v>
      </c>
      <c r="D4" s="9"/>
    </row>
    <row r="5" spans="2:7">
      <c r="B5" s="8"/>
      <c r="C5" s="10" t="s">
        <v>28</v>
      </c>
      <c r="D5" s="9"/>
    </row>
    <row r="6" spans="2:7">
      <c r="B6" s="8"/>
      <c r="C6" s="10" t="s">
        <v>29</v>
      </c>
      <c r="D6" s="9"/>
    </row>
    <row r="7" spans="2:7">
      <c r="B7" s="8"/>
      <c r="C7" s="10" t="s">
        <v>30</v>
      </c>
      <c r="D7" s="9"/>
    </row>
    <row r="8" spans="2:7">
      <c r="B8" s="8">
        <v>2</v>
      </c>
      <c r="C8" s="10" t="s">
        <v>31</v>
      </c>
      <c r="D8" s="9" t="s">
        <v>32</v>
      </c>
    </row>
    <row r="9" spans="2:7" ht="43.2">
      <c r="B9" s="8">
        <v>3</v>
      </c>
      <c r="C9" s="10" t="s">
        <v>33</v>
      </c>
      <c r="D9" s="9" t="s">
        <v>34</v>
      </c>
    </row>
    <row r="10" spans="2:7">
      <c r="B10" s="8">
        <v>4</v>
      </c>
      <c r="C10" s="10" t="s">
        <v>35</v>
      </c>
      <c r="D10" s="9" t="s">
        <v>36</v>
      </c>
    </row>
    <row r="11" spans="2:7" ht="28.8">
      <c r="B11" s="8">
        <v>5</v>
      </c>
      <c r="C11" s="10" t="s">
        <v>37</v>
      </c>
      <c r="D11" s="9" t="s">
        <v>38</v>
      </c>
    </row>
    <row r="12" spans="2:7">
      <c r="B12" s="8">
        <v>6</v>
      </c>
      <c r="C12" s="10" t="s">
        <v>39</v>
      </c>
      <c r="D12" s="57" t="s">
        <v>40</v>
      </c>
    </row>
    <row r="13" spans="2:7">
      <c r="B13" s="8">
        <v>7</v>
      </c>
      <c r="C13" s="10" t="s">
        <v>41</v>
      </c>
      <c r="D13" s="57" t="s">
        <v>42</v>
      </c>
    </row>
    <row r="15" spans="2:7">
      <c r="B15" s="40" t="s">
        <v>43</v>
      </c>
      <c r="C15" s="41" t="s">
        <v>44</v>
      </c>
      <c r="D15" s="58" t="s">
        <v>45</v>
      </c>
      <c r="E15" s="41" t="s">
        <v>46</v>
      </c>
      <c r="F15" s="41" t="s">
        <v>47</v>
      </c>
      <c r="G15" s="41" t="s">
        <v>48</v>
      </c>
    </row>
    <row r="16" spans="2:7">
      <c r="B16" s="39">
        <v>1</v>
      </c>
      <c r="C16" s="38" t="s">
        <v>49</v>
      </c>
      <c r="D16" s="53" t="s">
        <v>50</v>
      </c>
      <c r="E16" s="38" t="b">
        <v>1</v>
      </c>
      <c r="G16" s="38" t="s">
        <v>51</v>
      </c>
    </row>
    <row r="17" spans="2:9">
      <c r="B17" s="39">
        <v>2</v>
      </c>
      <c r="C17" s="38" t="s">
        <v>52</v>
      </c>
      <c r="D17" s="53" t="s">
        <v>52</v>
      </c>
      <c r="E17" s="38" t="b">
        <v>1</v>
      </c>
      <c r="G17" s="38" t="s">
        <v>53</v>
      </c>
    </row>
    <row r="18" spans="2:9">
      <c r="B18" s="39">
        <v>3</v>
      </c>
      <c r="C18" s="38" t="s">
        <v>54</v>
      </c>
      <c r="D18" s="53" t="s">
        <v>54</v>
      </c>
      <c r="E18" s="38" t="b">
        <v>1</v>
      </c>
      <c r="G18" s="38" t="s">
        <v>55</v>
      </c>
    </row>
    <row r="19" spans="2:9">
      <c r="B19" s="39">
        <v>4</v>
      </c>
      <c r="C19" s="38" t="s">
        <v>56</v>
      </c>
      <c r="D19" s="53" t="s">
        <v>56</v>
      </c>
      <c r="E19" s="38" t="b">
        <v>1</v>
      </c>
      <c r="G19" s="38" t="s">
        <v>57</v>
      </c>
      <c r="I19" s="59"/>
    </row>
    <row r="20" spans="2:9">
      <c r="B20" s="39">
        <v>5</v>
      </c>
      <c r="C20" s="38" t="s">
        <v>58</v>
      </c>
      <c r="D20" s="53" t="s">
        <v>58</v>
      </c>
      <c r="E20" s="38" t="b">
        <v>1</v>
      </c>
      <c r="F20" s="38" t="s">
        <v>59</v>
      </c>
      <c r="G20" s="38" t="s">
        <v>60</v>
      </c>
      <c r="I20" s="59"/>
    </row>
    <row r="21" spans="2:9">
      <c r="B21" s="39">
        <v>6</v>
      </c>
      <c r="C21" s="38" t="s">
        <v>61</v>
      </c>
      <c r="D21" s="53" t="s">
        <v>61</v>
      </c>
      <c r="E21" s="38" t="b">
        <v>1</v>
      </c>
      <c r="F21" s="38" t="s">
        <v>62</v>
      </c>
      <c r="G21" s="38" t="s">
        <v>63</v>
      </c>
      <c r="I21" s="59"/>
    </row>
    <row r="22" spans="2:9">
      <c r="B22" s="39">
        <v>7</v>
      </c>
      <c r="C22" s="38" t="s">
        <v>64</v>
      </c>
      <c r="D22" s="53" t="s">
        <v>64</v>
      </c>
      <c r="E22" s="38" t="b">
        <v>1</v>
      </c>
      <c r="F22" s="38" t="s">
        <v>65</v>
      </c>
      <c r="G22" s="38" t="s">
        <v>66</v>
      </c>
      <c r="I22" s="59"/>
    </row>
    <row r="23" spans="2:9">
      <c r="B23" s="39">
        <v>8</v>
      </c>
      <c r="C23" s="38" t="s">
        <v>67</v>
      </c>
      <c r="D23" s="53" t="s">
        <v>67</v>
      </c>
      <c r="E23" s="38" t="b">
        <v>1</v>
      </c>
      <c r="F23" s="38" t="s">
        <v>68</v>
      </c>
      <c r="G23" s="38" t="s">
        <v>69</v>
      </c>
      <c r="I23" s="59"/>
    </row>
    <row r="24" spans="2:9">
      <c r="B24" s="39">
        <v>9</v>
      </c>
      <c r="C24" s="38" t="s">
        <v>70</v>
      </c>
      <c r="D24" s="53" t="s">
        <v>70</v>
      </c>
      <c r="E24" s="38" t="b">
        <v>0</v>
      </c>
      <c r="F24" s="38" t="s">
        <v>71</v>
      </c>
      <c r="G24" s="38" t="s">
        <v>72</v>
      </c>
      <c r="I24" s="59"/>
    </row>
    <row r="25" spans="2:9">
      <c r="B25" s="39">
        <v>10</v>
      </c>
      <c r="C25" s="38" t="s">
        <v>73</v>
      </c>
      <c r="D25" s="53" t="s">
        <v>73</v>
      </c>
      <c r="E25" s="38" t="b">
        <v>0</v>
      </c>
      <c r="F25" s="38" t="s">
        <v>74</v>
      </c>
      <c r="G25" s="38" t="s">
        <v>75</v>
      </c>
      <c r="I25" s="59"/>
    </row>
    <row r="26" spans="2:9">
      <c r="B26" s="39">
        <v>11</v>
      </c>
      <c r="C26" s="38" t="s">
        <v>76</v>
      </c>
      <c r="D26" s="53" t="s">
        <v>76</v>
      </c>
      <c r="E26" s="38" t="b">
        <v>0</v>
      </c>
      <c r="F26" s="38" t="s">
        <v>77</v>
      </c>
      <c r="G26" s="38" t="s">
        <v>78</v>
      </c>
      <c r="I26" s="59"/>
    </row>
    <row r="27" spans="2:9">
      <c r="B27" s="39">
        <v>12</v>
      </c>
      <c r="C27" s="38" t="s">
        <v>79</v>
      </c>
      <c r="D27" s="53" t="s">
        <v>79</v>
      </c>
      <c r="E27" s="38" t="b">
        <v>0</v>
      </c>
      <c r="F27" s="38" t="s">
        <v>80</v>
      </c>
      <c r="G27" s="38" t="s">
        <v>81</v>
      </c>
      <c r="I27" s="59"/>
    </row>
    <row r="28" spans="2:9">
      <c r="B28" s="39">
        <v>13</v>
      </c>
      <c r="C28" s="38" t="s">
        <v>82</v>
      </c>
      <c r="D28" s="53" t="s">
        <v>82</v>
      </c>
      <c r="E28" s="38" t="b">
        <v>1</v>
      </c>
      <c r="F28" s="38" t="s">
        <v>83</v>
      </c>
      <c r="G28" s="38" t="s">
        <v>84</v>
      </c>
      <c r="I28" s="59"/>
    </row>
    <row r="29" spans="2:9">
      <c r="B29" s="39">
        <v>14</v>
      </c>
      <c r="C29" s="38" t="s">
        <v>61</v>
      </c>
      <c r="D29" s="53" t="s">
        <v>61</v>
      </c>
      <c r="E29" s="38" t="b">
        <v>1</v>
      </c>
      <c r="F29" s="38" t="s">
        <v>85</v>
      </c>
      <c r="G29" s="38" t="s">
        <v>86</v>
      </c>
      <c r="I29" s="59"/>
    </row>
    <row r="30" spans="2:9">
      <c r="B30" s="39">
        <v>15</v>
      </c>
      <c r="C30" s="38" t="s">
        <v>87</v>
      </c>
      <c r="D30" s="53" t="s">
        <v>87</v>
      </c>
      <c r="E30" s="38" t="b">
        <v>1</v>
      </c>
      <c r="F30" s="38" t="s">
        <v>88</v>
      </c>
      <c r="G30" s="38" t="s">
        <v>89</v>
      </c>
      <c r="I30" s="59"/>
    </row>
    <row r="31" spans="2:9">
      <c r="I31" s="5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67181-E78F-421B-A42B-222A73E1B3A8}">
  <dimension ref="B1:Q25"/>
  <sheetViews>
    <sheetView workbookViewId="0">
      <selection activeCell="B7" sqref="B7"/>
    </sheetView>
  </sheetViews>
  <sheetFormatPr defaultColWidth="9.33203125" defaultRowHeight="14.4"/>
  <cols>
    <col min="2" max="2" width="21.88671875" bestFit="1" customWidth="1"/>
    <col min="3" max="3" width="14.33203125" customWidth="1"/>
    <col min="4" max="4" width="18.33203125" bestFit="1" customWidth="1"/>
    <col min="5" max="5" width="21.88671875" customWidth="1"/>
    <col min="6" max="6" width="16.109375" customWidth="1"/>
    <col min="7" max="7" width="11" customWidth="1"/>
    <col min="8" max="8" width="12.88671875" customWidth="1"/>
    <col min="9" max="9" width="8.6640625" bestFit="1" customWidth="1"/>
    <col min="10" max="10" width="6.109375" bestFit="1" customWidth="1"/>
    <col min="11" max="11" width="8.5546875" bestFit="1" customWidth="1"/>
    <col min="12" max="12" width="7.33203125" bestFit="1" customWidth="1"/>
    <col min="13" max="13" width="8.33203125" bestFit="1" customWidth="1"/>
    <col min="14" max="14" width="9" bestFit="1" customWidth="1"/>
    <col min="15" max="15" width="6.6640625" bestFit="1" customWidth="1"/>
    <col min="16" max="16" width="8.33203125" bestFit="1" customWidth="1"/>
    <col min="17" max="17" width="9" bestFit="1" customWidth="1"/>
  </cols>
  <sheetData>
    <row r="1" spans="2:17">
      <c r="B1" s="91" t="s">
        <v>2285</v>
      </c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</row>
    <row r="2" spans="2:17" ht="15" thickBot="1"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</row>
    <row r="3" spans="2:17" ht="16.2" thickBot="1">
      <c r="B3" s="93" t="s">
        <v>2302</v>
      </c>
      <c r="C3" s="93"/>
      <c r="D3" s="94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</row>
    <row r="4" spans="2:17" ht="15" thickBot="1">
      <c r="B4" s="79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</row>
    <row r="5" spans="2:17" ht="15" thickBot="1">
      <c r="B5" s="79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</row>
    <row r="6" spans="2:17" ht="15" thickBot="1">
      <c r="B6" s="79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</row>
    <row r="7" spans="2:17" ht="15" thickBot="1">
      <c r="B7" s="79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</row>
    <row r="8" spans="2:17" ht="15" thickBot="1">
      <c r="B8" s="79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</row>
    <row r="9" spans="2:17" ht="15" thickBot="1">
      <c r="B9" s="80"/>
      <c r="C9" s="80"/>
      <c r="D9" s="80"/>
      <c r="E9" s="80"/>
      <c r="F9" s="80"/>
      <c r="G9" s="81">
        <v>1568232</v>
      </c>
      <c r="H9" s="81">
        <v>134</v>
      </c>
      <c r="I9" s="80"/>
      <c r="J9" s="80"/>
      <c r="K9" s="80"/>
      <c r="L9" s="80"/>
      <c r="M9" s="80"/>
      <c r="N9" s="80"/>
      <c r="O9" s="80"/>
      <c r="P9" s="80"/>
      <c r="Q9" s="80"/>
    </row>
    <row r="10" spans="2:17" ht="29.4" thickBot="1">
      <c r="B10" s="82" t="s">
        <v>0</v>
      </c>
      <c r="C10" s="83" t="s">
        <v>4</v>
      </c>
      <c r="D10" s="83" t="s">
        <v>2295</v>
      </c>
      <c r="E10" s="83" t="s">
        <v>2296</v>
      </c>
      <c r="F10" s="82" t="s">
        <v>8</v>
      </c>
      <c r="G10" s="82" t="s">
        <v>9</v>
      </c>
      <c r="H10" s="82" t="s">
        <v>10</v>
      </c>
      <c r="I10" s="83" t="s">
        <v>2286</v>
      </c>
      <c r="J10" s="83" t="s">
        <v>2287</v>
      </c>
      <c r="K10" s="83" t="s">
        <v>2288</v>
      </c>
      <c r="L10" s="83" t="s">
        <v>2289</v>
      </c>
      <c r="M10" s="83" t="s">
        <v>2290</v>
      </c>
      <c r="N10" s="83" t="s">
        <v>2291</v>
      </c>
      <c r="O10" s="83" t="s">
        <v>2292</v>
      </c>
      <c r="P10" s="83" t="s">
        <v>11</v>
      </c>
      <c r="Q10" s="83" t="s">
        <v>2293</v>
      </c>
    </row>
    <row r="11" spans="2:17" ht="15" thickBot="1">
      <c r="B11" s="84">
        <v>1</v>
      </c>
      <c r="C11" s="85" t="s">
        <v>6</v>
      </c>
      <c r="D11" s="85" t="s">
        <v>2298</v>
      </c>
      <c r="E11" s="85" t="s">
        <v>2297</v>
      </c>
      <c r="F11" s="86" t="s">
        <v>13</v>
      </c>
      <c r="G11" s="86">
        <v>30</v>
      </c>
      <c r="H11" s="86">
        <v>10</v>
      </c>
      <c r="I11" s="85" t="s">
        <v>13</v>
      </c>
      <c r="J11" s="85" t="s">
        <v>1395</v>
      </c>
      <c r="K11" s="85" t="s">
        <v>13</v>
      </c>
      <c r="L11" s="85" t="s">
        <v>13</v>
      </c>
      <c r="M11" s="85" t="s">
        <v>13</v>
      </c>
      <c r="N11" s="85" t="s">
        <v>13</v>
      </c>
      <c r="O11" s="85" t="s">
        <v>13</v>
      </c>
      <c r="P11" s="85" t="s">
        <v>13</v>
      </c>
      <c r="Q11" s="85" t="s">
        <v>13</v>
      </c>
    </row>
    <row r="12" spans="2:17" ht="21.75" customHeight="1" thickBot="1">
      <c r="B12" s="87">
        <v>2</v>
      </c>
      <c r="C12" s="88" t="s">
        <v>17</v>
      </c>
      <c r="D12" s="88" t="s">
        <v>2297</v>
      </c>
      <c r="E12" s="88" t="s">
        <v>2301</v>
      </c>
      <c r="F12" s="89" t="s">
        <v>13</v>
      </c>
      <c r="G12" s="89">
        <v>50</v>
      </c>
      <c r="H12" s="89">
        <v>18</v>
      </c>
      <c r="I12" s="88" t="s">
        <v>13</v>
      </c>
      <c r="J12" s="88" t="s">
        <v>1395</v>
      </c>
      <c r="K12" s="88" t="s">
        <v>13</v>
      </c>
      <c r="L12" s="88" t="s">
        <v>13</v>
      </c>
      <c r="M12" s="88" t="s">
        <v>13</v>
      </c>
      <c r="N12" s="88" t="s">
        <v>13</v>
      </c>
      <c r="O12" s="88" t="s">
        <v>13</v>
      </c>
      <c r="P12" s="88" t="s">
        <v>13</v>
      </c>
      <c r="Q12" s="88" t="s">
        <v>13</v>
      </c>
    </row>
    <row r="13" spans="2:17" ht="15" thickBot="1">
      <c r="B13" s="84">
        <v>3</v>
      </c>
      <c r="C13" s="85" t="s">
        <v>14</v>
      </c>
      <c r="D13" s="85" t="s">
        <v>2299</v>
      </c>
      <c r="E13" s="85"/>
      <c r="F13" s="86" t="s">
        <v>13</v>
      </c>
      <c r="G13" s="86">
        <v>4</v>
      </c>
      <c r="H13" s="86">
        <v>5</v>
      </c>
      <c r="I13" s="85" t="s">
        <v>13</v>
      </c>
      <c r="J13" s="85" t="s">
        <v>1395</v>
      </c>
      <c r="K13" s="85" t="s">
        <v>13</v>
      </c>
      <c r="L13" s="85" t="s">
        <v>13</v>
      </c>
      <c r="M13" s="85" t="s">
        <v>13</v>
      </c>
      <c r="N13" s="85" t="s">
        <v>13</v>
      </c>
      <c r="O13" s="85" t="s">
        <v>13</v>
      </c>
      <c r="P13" s="85" t="s">
        <v>13</v>
      </c>
      <c r="Q13" s="85" t="s">
        <v>13</v>
      </c>
    </row>
    <row r="14" spans="2:17" ht="15" thickBot="1">
      <c r="B14" s="87">
        <v>4</v>
      </c>
      <c r="C14" s="88" t="s">
        <v>15</v>
      </c>
      <c r="D14" s="88" t="s">
        <v>2299</v>
      </c>
      <c r="E14" s="88"/>
      <c r="F14" s="89" t="s">
        <v>13</v>
      </c>
      <c r="G14" s="89">
        <v>9</v>
      </c>
      <c r="H14" s="89">
        <v>3</v>
      </c>
      <c r="I14" s="88" t="s">
        <v>13</v>
      </c>
      <c r="J14" s="88" t="s">
        <v>1395</v>
      </c>
      <c r="K14" s="88" t="s">
        <v>13</v>
      </c>
      <c r="L14" s="88" t="s">
        <v>1395</v>
      </c>
      <c r="M14" s="88" t="s">
        <v>13</v>
      </c>
      <c r="N14" s="88" t="s">
        <v>13</v>
      </c>
      <c r="O14" s="88" t="s">
        <v>13</v>
      </c>
      <c r="P14" s="88" t="s">
        <v>1395</v>
      </c>
      <c r="Q14" s="88" t="s">
        <v>1395</v>
      </c>
    </row>
    <row r="15" spans="2:17" ht="15" thickBot="1">
      <c r="B15" s="84">
        <v>5</v>
      </c>
      <c r="C15" s="85" t="s">
        <v>7</v>
      </c>
      <c r="D15" s="85" t="s">
        <v>2298</v>
      </c>
      <c r="E15" s="85" t="s">
        <v>2301</v>
      </c>
      <c r="F15" s="86" t="s">
        <v>13</v>
      </c>
      <c r="G15" s="86">
        <v>750</v>
      </c>
      <c r="H15" s="86">
        <v>16</v>
      </c>
      <c r="I15" s="85" t="s">
        <v>13</v>
      </c>
      <c r="J15" s="85" t="s">
        <v>1395</v>
      </c>
      <c r="K15" s="85" t="s">
        <v>13</v>
      </c>
      <c r="L15" s="85" t="s">
        <v>13</v>
      </c>
      <c r="M15" s="85" t="s">
        <v>13</v>
      </c>
      <c r="N15" s="85" t="s">
        <v>13</v>
      </c>
      <c r="O15" s="85" t="s">
        <v>13</v>
      </c>
      <c r="P15" s="85" t="s">
        <v>13</v>
      </c>
      <c r="Q15" s="85" t="s">
        <v>13</v>
      </c>
    </row>
    <row r="16" spans="2:17" ht="15" thickBot="1">
      <c r="B16" s="87">
        <v>6</v>
      </c>
      <c r="C16" s="88" t="s">
        <v>20</v>
      </c>
      <c r="D16" s="88" t="s">
        <v>2298</v>
      </c>
      <c r="E16" s="88" t="s">
        <v>2297</v>
      </c>
      <c r="F16" s="89" t="s">
        <v>13</v>
      </c>
      <c r="G16" s="89">
        <v>12</v>
      </c>
      <c r="H16" s="89">
        <v>10</v>
      </c>
      <c r="I16" s="88" t="s">
        <v>13</v>
      </c>
      <c r="J16" s="88" t="s">
        <v>1395</v>
      </c>
      <c r="K16" s="88" t="s">
        <v>13</v>
      </c>
      <c r="L16" s="88" t="s">
        <v>13</v>
      </c>
      <c r="M16" s="88" t="s">
        <v>13</v>
      </c>
      <c r="N16" s="88" t="s">
        <v>13</v>
      </c>
      <c r="O16" s="88" t="s">
        <v>13</v>
      </c>
      <c r="P16" s="88" t="s">
        <v>13</v>
      </c>
      <c r="Q16" s="88" t="s">
        <v>13</v>
      </c>
    </row>
    <row r="17" spans="2:17" ht="15" thickBot="1">
      <c r="B17" s="84">
        <v>7</v>
      </c>
      <c r="C17" s="85" t="s">
        <v>18</v>
      </c>
      <c r="D17" s="85" t="s">
        <v>2299</v>
      </c>
      <c r="E17" s="85"/>
      <c r="F17" s="86" t="s">
        <v>13</v>
      </c>
      <c r="G17" s="86">
        <v>250</v>
      </c>
      <c r="H17" s="86">
        <v>3</v>
      </c>
      <c r="I17" s="85" t="s">
        <v>13</v>
      </c>
      <c r="J17" s="85" t="s">
        <v>1395</v>
      </c>
      <c r="K17" s="85" t="s">
        <v>13</v>
      </c>
      <c r="L17" s="88" t="s">
        <v>13</v>
      </c>
      <c r="M17" s="88" t="s">
        <v>13</v>
      </c>
      <c r="N17" s="88" t="s">
        <v>13</v>
      </c>
      <c r="O17" s="88" t="s">
        <v>13</v>
      </c>
      <c r="P17" s="88" t="s">
        <v>13</v>
      </c>
      <c r="Q17" s="88" t="s">
        <v>13</v>
      </c>
    </row>
    <row r="18" spans="2:17" ht="15" thickBot="1">
      <c r="B18" s="87">
        <v>8</v>
      </c>
      <c r="C18" s="88" t="s">
        <v>19</v>
      </c>
      <c r="D18" s="88" t="s">
        <v>2299</v>
      </c>
      <c r="E18" s="88"/>
      <c r="F18" s="89" t="s">
        <v>13</v>
      </c>
      <c r="G18" s="89">
        <v>4</v>
      </c>
      <c r="H18" s="89">
        <v>3</v>
      </c>
      <c r="I18" s="88" t="s">
        <v>13</v>
      </c>
      <c r="J18" s="88" t="s">
        <v>1395</v>
      </c>
      <c r="K18" s="88" t="s">
        <v>13</v>
      </c>
      <c r="L18" s="88" t="s">
        <v>13</v>
      </c>
      <c r="M18" s="88" t="s">
        <v>13</v>
      </c>
      <c r="N18" s="88" t="s">
        <v>13</v>
      </c>
      <c r="O18" s="88" t="s">
        <v>13</v>
      </c>
      <c r="P18" s="88" t="s">
        <v>13</v>
      </c>
      <c r="Q18" s="88" t="s">
        <v>13</v>
      </c>
    </row>
    <row r="19" spans="2:17" ht="15" thickBot="1">
      <c r="B19" s="84">
        <v>9</v>
      </c>
      <c r="C19" s="85" t="s">
        <v>2294</v>
      </c>
      <c r="D19" s="85" t="s">
        <v>2300</v>
      </c>
      <c r="E19" s="85" t="s">
        <v>2301</v>
      </c>
      <c r="F19" s="86" t="s">
        <v>13</v>
      </c>
      <c r="G19" s="86">
        <v>1003750</v>
      </c>
      <c r="H19" s="86">
        <v>14</v>
      </c>
      <c r="I19" s="85" t="s">
        <v>13</v>
      </c>
      <c r="J19" s="85" t="s">
        <v>1395</v>
      </c>
      <c r="K19" s="85" t="s">
        <v>13</v>
      </c>
      <c r="L19" s="88" t="s">
        <v>13</v>
      </c>
      <c r="M19" s="88" t="s">
        <v>13</v>
      </c>
      <c r="N19" s="88" t="s">
        <v>13</v>
      </c>
      <c r="O19" s="88" t="s">
        <v>13</v>
      </c>
      <c r="P19" s="88" t="s">
        <v>13</v>
      </c>
      <c r="Q19" s="88" t="s">
        <v>13</v>
      </c>
    </row>
    <row r="20" spans="2:17" ht="15" thickBot="1">
      <c r="B20" s="87">
        <v>10</v>
      </c>
      <c r="C20" s="88" t="s">
        <v>23</v>
      </c>
      <c r="D20" s="88" t="s">
        <v>2301</v>
      </c>
      <c r="E20" s="88" t="s">
        <v>2300</v>
      </c>
      <c r="F20" s="89" t="s">
        <v>13</v>
      </c>
      <c r="G20" s="89">
        <v>18250</v>
      </c>
      <c r="H20" s="89">
        <v>9</v>
      </c>
      <c r="I20" s="88" t="s">
        <v>13</v>
      </c>
      <c r="J20" s="88" t="s">
        <v>1395</v>
      </c>
      <c r="K20" s="88" t="s">
        <v>13</v>
      </c>
      <c r="L20" s="88" t="s">
        <v>13</v>
      </c>
      <c r="M20" s="88" t="s">
        <v>13</v>
      </c>
      <c r="N20" s="88" t="s">
        <v>13</v>
      </c>
      <c r="O20" s="88" t="s">
        <v>13</v>
      </c>
      <c r="P20" s="88" t="s">
        <v>13</v>
      </c>
      <c r="Q20" s="88" t="s">
        <v>13</v>
      </c>
    </row>
    <row r="21" spans="2:17" ht="15" thickBot="1">
      <c r="B21" s="84">
        <v>11</v>
      </c>
      <c r="C21" s="85" t="s">
        <v>2282</v>
      </c>
      <c r="D21" s="85" t="s">
        <v>2300</v>
      </c>
      <c r="E21" s="85" t="s">
        <v>2298</v>
      </c>
      <c r="F21" s="86" t="s">
        <v>13</v>
      </c>
      <c r="G21" s="86">
        <v>502538</v>
      </c>
      <c r="H21" s="86">
        <v>9</v>
      </c>
      <c r="I21" s="85" t="s">
        <v>13</v>
      </c>
      <c r="J21" s="85" t="s">
        <v>1395</v>
      </c>
      <c r="K21" s="85" t="s">
        <v>13</v>
      </c>
      <c r="L21" s="88" t="s">
        <v>13</v>
      </c>
      <c r="M21" s="88" t="s">
        <v>13</v>
      </c>
      <c r="N21" s="88" t="s">
        <v>13</v>
      </c>
      <c r="O21" s="88" t="s">
        <v>13</v>
      </c>
      <c r="P21" s="88" t="s">
        <v>13</v>
      </c>
      <c r="Q21" s="88" t="s">
        <v>13</v>
      </c>
    </row>
    <row r="22" spans="2:17" ht="15" thickBot="1">
      <c r="B22" s="87">
        <v>12</v>
      </c>
      <c r="C22" s="88" t="s">
        <v>22</v>
      </c>
      <c r="D22" s="88" t="s">
        <v>2301</v>
      </c>
      <c r="E22" s="88" t="s">
        <v>2298</v>
      </c>
      <c r="F22" s="86" t="s">
        <v>13</v>
      </c>
      <c r="G22" s="89">
        <v>18250</v>
      </c>
      <c r="H22" s="89">
        <v>12</v>
      </c>
      <c r="I22" s="88" t="s">
        <v>1395</v>
      </c>
      <c r="J22" s="88" t="s">
        <v>1395</v>
      </c>
      <c r="K22" s="88" t="s">
        <v>13</v>
      </c>
      <c r="L22" s="88" t="s">
        <v>13</v>
      </c>
      <c r="M22" s="88" t="s">
        <v>13</v>
      </c>
      <c r="N22" s="88" t="s">
        <v>13</v>
      </c>
      <c r="O22" s="88" t="s">
        <v>13</v>
      </c>
      <c r="P22" s="88" t="s">
        <v>13</v>
      </c>
      <c r="Q22" s="88" t="s">
        <v>13</v>
      </c>
    </row>
    <row r="23" spans="2:17" ht="15" thickBot="1">
      <c r="B23" s="84">
        <v>13</v>
      </c>
      <c r="C23" s="85" t="s">
        <v>24</v>
      </c>
      <c r="D23" s="85" t="s">
        <v>2299</v>
      </c>
      <c r="E23" s="85"/>
      <c r="F23" s="86" t="s">
        <v>13</v>
      </c>
      <c r="G23" s="86">
        <v>2</v>
      </c>
      <c r="H23" s="86">
        <v>4</v>
      </c>
      <c r="I23" s="85" t="s">
        <v>13</v>
      </c>
      <c r="J23" s="85" t="s">
        <v>1395</v>
      </c>
      <c r="K23" s="85" t="s">
        <v>13</v>
      </c>
      <c r="L23" s="88" t="s">
        <v>13</v>
      </c>
      <c r="M23" s="88" t="s">
        <v>13</v>
      </c>
      <c r="N23" s="88" t="s">
        <v>13</v>
      </c>
      <c r="O23" s="88" t="s">
        <v>13</v>
      </c>
      <c r="P23" s="88" t="s">
        <v>13</v>
      </c>
      <c r="Q23" s="88" t="s">
        <v>13</v>
      </c>
    </row>
    <row r="24" spans="2:17" ht="15" thickBot="1">
      <c r="B24" s="87">
        <v>14</v>
      </c>
      <c r="C24" s="88" t="s">
        <v>2281</v>
      </c>
      <c r="D24" s="88" t="s">
        <v>2300</v>
      </c>
      <c r="E24" s="88" t="s">
        <v>2297</v>
      </c>
      <c r="F24" s="89" t="s">
        <v>13</v>
      </c>
      <c r="G24" s="89">
        <v>18250</v>
      </c>
      <c r="H24" s="89">
        <v>8</v>
      </c>
      <c r="I24" s="88" t="s">
        <v>13</v>
      </c>
      <c r="J24" s="88" t="s">
        <v>1395</v>
      </c>
      <c r="K24" s="88" t="s">
        <v>13</v>
      </c>
      <c r="L24" s="88" t="s">
        <v>13</v>
      </c>
      <c r="M24" s="88" t="s">
        <v>13</v>
      </c>
      <c r="N24" s="88" t="s">
        <v>13</v>
      </c>
      <c r="O24" s="88" t="s">
        <v>13</v>
      </c>
      <c r="P24" s="88" t="s">
        <v>13</v>
      </c>
      <c r="Q24" s="88" t="s">
        <v>13</v>
      </c>
    </row>
    <row r="25" spans="2:17" ht="21" customHeight="1" thickBot="1">
      <c r="B25" s="84">
        <v>15</v>
      </c>
      <c r="C25" s="85" t="s">
        <v>2283</v>
      </c>
      <c r="D25" s="85" t="s">
        <v>2297</v>
      </c>
      <c r="E25" s="85" t="s">
        <v>2300</v>
      </c>
      <c r="F25" s="86" t="s">
        <v>13</v>
      </c>
      <c r="G25" s="86">
        <v>6083</v>
      </c>
      <c r="H25" s="86">
        <v>10</v>
      </c>
      <c r="I25" s="85" t="s">
        <v>1395</v>
      </c>
      <c r="J25" s="85" t="s">
        <v>1395</v>
      </c>
      <c r="K25" s="85" t="s">
        <v>13</v>
      </c>
      <c r="L25" s="88" t="s">
        <v>13</v>
      </c>
      <c r="M25" s="88" t="s">
        <v>13</v>
      </c>
      <c r="N25" s="88" t="s">
        <v>13</v>
      </c>
      <c r="O25" s="88" t="s">
        <v>13</v>
      </c>
      <c r="P25" s="88" t="s">
        <v>13</v>
      </c>
      <c r="Q25" s="88" t="s">
        <v>13</v>
      </c>
    </row>
  </sheetData>
  <mergeCells count="2">
    <mergeCell ref="B1:Q2"/>
    <mergeCell ref="B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I105"/>
  <sheetViews>
    <sheetView workbookViewId="0">
      <selection activeCell="C18" sqref="C18"/>
    </sheetView>
  </sheetViews>
  <sheetFormatPr defaultColWidth="9" defaultRowHeight="14.4"/>
  <cols>
    <col min="1" max="1" width="8.6640625" style="5"/>
    <col min="2" max="2" width="21" customWidth="1"/>
    <col min="3" max="3" width="47.6640625" customWidth="1"/>
    <col min="4" max="4" width="16.33203125" customWidth="1"/>
    <col min="5" max="5" width="16.44140625" customWidth="1"/>
    <col min="6" max="6" width="12.6640625" style="5" customWidth="1"/>
    <col min="7" max="7" width="11.5546875" bestFit="1" customWidth="1"/>
    <col min="8" max="8" width="14" customWidth="1"/>
    <col min="9" max="9" width="16" customWidth="1"/>
  </cols>
  <sheetData>
    <row r="2" spans="1:9">
      <c r="B2" s="6" t="s">
        <v>0</v>
      </c>
      <c r="C2" s="7" t="s">
        <v>5</v>
      </c>
      <c r="D2" s="7" t="s">
        <v>1</v>
      </c>
    </row>
    <row r="3" spans="1:9">
      <c r="B3" s="8">
        <v>1</v>
      </c>
      <c r="C3" s="9" t="s">
        <v>583</v>
      </c>
      <c r="D3" s="10"/>
    </row>
    <row r="4" spans="1:9">
      <c r="B4" s="8">
        <f>B3+1</f>
        <v>2</v>
      </c>
      <c r="C4" s="10" t="s">
        <v>584</v>
      </c>
      <c r="D4" s="10"/>
    </row>
    <row r="5" spans="1:9">
      <c r="B5" s="8">
        <f t="shared" ref="B5:B7" si="0">B4+1</f>
        <v>3</v>
      </c>
      <c r="C5" s="10" t="s">
        <v>585</v>
      </c>
      <c r="D5" s="10"/>
    </row>
    <row r="6" spans="1:9">
      <c r="B6" s="8">
        <f t="shared" si="0"/>
        <v>4</v>
      </c>
      <c r="C6" s="10" t="s">
        <v>586</v>
      </c>
      <c r="D6" s="10"/>
    </row>
    <row r="7" spans="1:9">
      <c r="B7" s="8">
        <f t="shared" si="0"/>
        <v>5</v>
      </c>
      <c r="C7" s="10" t="s">
        <v>587</v>
      </c>
      <c r="D7" s="10"/>
    </row>
    <row r="8" spans="1:9">
      <c r="B8" s="8">
        <f t="shared" ref="B8" si="1">B7+1</f>
        <v>6</v>
      </c>
      <c r="C8" s="10" t="s">
        <v>588</v>
      </c>
      <c r="D8" s="10"/>
    </row>
    <row r="9" spans="1:9">
      <c r="B9" s="8">
        <f t="shared" ref="B9" si="2">B8+1</f>
        <v>7</v>
      </c>
      <c r="C9" s="10" t="s">
        <v>589</v>
      </c>
      <c r="D9" s="10"/>
    </row>
    <row r="11" spans="1:9">
      <c r="A11" s="29" t="s">
        <v>590</v>
      </c>
      <c r="B11" s="30" t="s">
        <v>591</v>
      </c>
      <c r="C11" s="30" t="s">
        <v>592</v>
      </c>
      <c r="D11" s="73" t="s">
        <v>593</v>
      </c>
      <c r="E11" s="29" t="s">
        <v>594</v>
      </c>
      <c r="F11" s="31" t="s">
        <v>595</v>
      </c>
      <c r="G11" s="32" t="s">
        <v>46</v>
      </c>
      <c r="H11" s="35" t="s">
        <v>47</v>
      </c>
      <c r="I11" s="35" t="s">
        <v>48</v>
      </c>
    </row>
    <row r="12" spans="1:9">
      <c r="A12" s="26">
        <v>1</v>
      </c>
      <c r="B12" s="4" t="s">
        <v>596</v>
      </c>
      <c r="C12" s="4" t="s">
        <v>596</v>
      </c>
      <c r="D12" s="26">
        <v>1</v>
      </c>
      <c r="E12" s="26">
        <v>0</v>
      </c>
      <c r="F12" s="33">
        <v>1</v>
      </c>
      <c r="G12" s="34" t="b">
        <v>1</v>
      </c>
      <c r="H12" s="4" t="s">
        <v>597</v>
      </c>
      <c r="I12" s="4" t="s">
        <v>598</v>
      </c>
    </row>
    <row r="13" spans="1:9">
      <c r="A13" s="26">
        <v>2</v>
      </c>
      <c r="B13" s="4" t="s">
        <v>599</v>
      </c>
      <c r="C13" s="4" t="s">
        <v>599</v>
      </c>
      <c r="D13" s="26">
        <v>1</v>
      </c>
      <c r="E13" s="26">
        <v>0</v>
      </c>
      <c r="F13" s="33">
        <v>1</v>
      </c>
      <c r="G13" s="34" t="b">
        <v>1</v>
      </c>
      <c r="H13" s="4" t="s">
        <v>600</v>
      </c>
      <c r="I13" s="4" t="s">
        <v>90</v>
      </c>
    </row>
    <row r="14" spans="1:9">
      <c r="A14" s="26">
        <v>3</v>
      </c>
      <c r="B14" s="4" t="s">
        <v>601</v>
      </c>
      <c r="C14" s="4" t="s">
        <v>601</v>
      </c>
      <c r="D14" s="26">
        <v>1</v>
      </c>
      <c r="E14" s="26">
        <v>1</v>
      </c>
      <c r="F14" s="33">
        <v>1</v>
      </c>
      <c r="G14" s="34" t="b">
        <v>1</v>
      </c>
      <c r="H14" s="4" t="s">
        <v>602</v>
      </c>
      <c r="I14" s="4" t="s">
        <v>603</v>
      </c>
    </row>
    <row r="15" spans="1:9">
      <c r="A15" s="26">
        <v>4</v>
      </c>
      <c r="B15" s="4" t="s">
        <v>604</v>
      </c>
      <c r="C15" s="4" t="s">
        <v>604</v>
      </c>
      <c r="D15" s="26">
        <v>1</v>
      </c>
      <c r="E15" s="26">
        <v>1</v>
      </c>
      <c r="F15" s="33">
        <v>16</v>
      </c>
      <c r="G15" s="34" t="b">
        <v>1</v>
      </c>
      <c r="H15" s="4" t="s">
        <v>605</v>
      </c>
      <c r="I15" s="4" t="s">
        <v>606</v>
      </c>
    </row>
    <row r="16" spans="1:9">
      <c r="A16" s="26">
        <v>5</v>
      </c>
      <c r="B16" s="4" t="s">
        <v>607</v>
      </c>
      <c r="C16" s="4" t="s">
        <v>607</v>
      </c>
      <c r="D16" s="26">
        <v>0</v>
      </c>
      <c r="E16" s="26">
        <v>1</v>
      </c>
      <c r="F16" s="33">
        <v>1</v>
      </c>
      <c r="G16" s="34" t="b">
        <v>1</v>
      </c>
      <c r="H16" s="4" t="s">
        <v>608</v>
      </c>
      <c r="I16" s="4" t="s">
        <v>609</v>
      </c>
    </row>
    <row r="17" spans="1:9">
      <c r="A17" s="26">
        <v>6</v>
      </c>
      <c r="B17" s="4" t="s">
        <v>610</v>
      </c>
      <c r="C17" s="4" t="s">
        <v>610</v>
      </c>
      <c r="D17" s="26">
        <v>0</v>
      </c>
      <c r="E17" s="26">
        <v>1</v>
      </c>
      <c r="F17" s="33">
        <v>1</v>
      </c>
      <c r="G17" s="34" t="b">
        <v>1</v>
      </c>
      <c r="H17" s="4" t="s">
        <v>611</v>
      </c>
      <c r="I17" s="4" t="s">
        <v>612</v>
      </c>
    </row>
    <row r="18" spans="1:9">
      <c r="A18" s="26">
        <v>7</v>
      </c>
      <c r="B18" s="4" t="s">
        <v>613</v>
      </c>
      <c r="C18" s="4" t="s">
        <v>613</v>
      </c>
      <c r="D18" s="26">
        <v>1</v>
      </c>
      <c r="E18" s="26">
        <v>1</v>
      </c>
      <c r="F18" s="33">
        <v>24</v>
      </c>
      <c r="G18" s="34" t="b">
        <v>1</v>
      </c>
      <c r="H18" s="4" t="s">
        <v>614</v>
      </c>
      <c r="I18" s="4" t="s">
        <v>615</v>
      </c>
    </row>
    <row r="19" spans="1:9">
      <c r="A19" s="26">
        <v>8</v>
      </c>
      <c r="B19" s="4" t="s">
        <v>616</v>
      </c>
      <c r="C19" s="4" t="s">
        <v>616</v>
      </c>
      <c r="D19" s="26">
        <v>1</v>
      </c>
      <c r="E19" s="26">
        <v>0</v>
      </c>
      <c r="F19" s="33">
        <v>6</v>
      </c>
      <c r="G19" s="34" t="b">
        <v>1</v>
      </c>
      <c r="H19" s="4" t="s">
        <v>617</v>
      </c>
      <c r="I19" s="4" t="s">
        <v>618</v>
      </c>
    </row>
    <row r="20" spans="1:9">
      <c r="A20" s="26">
        <v>9</v>
      </c>
      <c r="B20" s="4" t="s">
        <v>619</v>
      </c>
      <c r="C20" s="4" t="s">
        <v>619</v>
      </c>
      <c r="D20" s="26">
        <v>1</v>
      </c>
      <c r="E20" s="26">
        <v>1</v>
      </c>
      <c r="F20" s="33">
        <v>1</v>
      </c>
      <c r="G20" s="34" t="b">
        <v>1</v>
      </c>
      <c r="H20" s="4" t="s">
        <v>620</v>
      </c>
      <c r="I20" s="4" t="s">
        <v>621</v>
      </c>
    </row>
    <row r="21" spans="1:9">
      <c r="A21" s="26">
        <v>10</v>
      </c>
      <c r="B21" s="4" t="s">
        <v>622</v>
      </c>
      <c r="C21" s="4" t="s">
        <v>622</v>
      </c>
      <c r="D21" s="26">
        <v>1</v>
      </c>
      <c r="E21" s="26">
        <v>1</v>
      </c>
      <c r="F21" s="33">
        <v>6</v>
      </c>
      <c r="G21" s="34" t="b">
        <v>1</v>
      </c>
      <c r="H21" s="4" t="s">
        <v>623</v>
      </c>
      <c r="I21" s="4" t="s">
        <v>624</v>
      </c>
    </row>
    <row r="22" spans="1:9">
      <c r="A22" s="26">
        <v>11</v>
      </c>
      <c r="B22" s="4" t="s">
        <v>625</v>
      </c>
      <c r="C22" s="4" t="s">
        <v>625</v>
      </c>
      <c r="D22" s="26">
        <v>1</v>
      </c>
      <c r="E22" s="26">
        <v>1</v>
      </c>
      <c r="F22" s="33">
        <v>8</v>
      </c>
      <c r="G22" s="34" t="b">
        <v>1</v>
      </c>
      <c r="H22" s="4" t="s">
        <v>626</v>
      </c>
      <c r="I22" s="4" t="s">
        <v>627</v>
      </c>
    </row>
    <row r="23" spans="1:9">
      <c r="A23" s="26">
        <v>12</v>
      </c>
      <c r="B23" s="4" t="s">
        <v>628</v>
      </c>
      <c r="C23" s="4" t="s">
        <v>628</v>
      </c>
      <c r="D23" s="26">
        <v>1</v>
      </c>
      <c r="E23" s="26">
        <v>1</v>
      </c>
      <c r="F23" s="33">
        <v>16</v>
      </c>
      <c r="G23" s="34" t="b">
        <v>1</v>
      </c>
      <c r="H23" s="4" t="s">
        <v>629</v>
      </c>
      <c r="I23" s="4" t="s">
        <v>630</v>
      </c>
    </row>
    <row r="24" spans="1:9">
      <c r="A24" s="26">
        <v>13</v>
      </c>
      <c r="B24" s="4" t="s">
        <v>631</v>
      </c>
      <c r="C24" s="4" t="s">
        <v>631</v>
      </c>
      <c r="D24" s="26">
        <v>1</v>
      </c>
      <c r="E24" s="26">
        <v>1</v>
      </c>
      <c r="F24" s="33">
        <v>1</v>
      </c>
      <c r="G24" s="34" t="b">
        <v>1</v>
      </c>
      <c r="H24" s="4" t="s">
        <v>632</v>
      </c>
      <c r="I24" s="4" t="s">
        <v>633</v>
      </c>
    </row>
    <row r="25" spans="1:9">
      <c r="A25" s="26">
        <v>14</v>
      </c>
      <c r="B25" s="4" t="s">
        <v>634</v>
      </c>
      <c r="C25" s="4" t="s">
        <v>634</v>
      </c>
      <c r="D25" s="26">
        <v>0</v>
      </c>
      <c r="E25" s="26">
        <v>1</v>
      </c>
      <c r="F25" s="33">
        <v>1</v>
      </c>
      <c r="G25" s="34" t="b">
        <v>1</v>
      </c>
      <c r="H25" s="4" t="s">
        <v>635</v>
      </c>
      <c r="I25" s="4" t="s">
        <v>636</v>
      </c>
    </row>
    <row r="26" spans="1:9">
      <c r="A26" s="26">
        <v>15</v>
      </c>
      <c r="B26" s="4" t="s">
        <v>637</v>
      </c>
      <c r="C26" s="4" t="s">
        <v>637</v>
      </c>
      <c r="D26" s="26">
        <v>1</v>
      </c>
      <c r="E26" s="26">
        <v>1</v>
      </c>
      <c r="F26" s="33">
        <v>8</v>
      </c>
      <c r="G26" s="34" t="b">
        <v>1</v>
      </c>
      <c r="H26" s="4" t="s">
        <v>638</v>
      </c>
      <c r="I26" s="4" t="s">
        <v>639</v>
      </c>
    </row>
    <row r="27" spans="1:9">
      <c r="A27" s="26">
        <v>16</v>
      </c>
      <c r="B27" s="4" t="s">
        <v>640</v>
      </c>
      <c r="C27" s="4" t="s">
        <v>640</v>
      </c>
      <c r="D27" s="26">
        <v>0</v>
      </c>
      <c r="E27" s="26">
        <v>1</v>
      </c>
      <c r="F27" s="33">
        <v>2</v>
      </c>
      <c r="G27" s="34" t="b">
        <v>1</v>
      </c>
      <c r="H27" s="4" t="s">
        <v>641</v>
      </c>
      <c r="I27" s="4" t="s">
        <v>642</v>
      </c>
    </row>
    <row r="28" spans="1:9">
      <c r="A28" s="26">
        <v>17</v>
      </c>
      <c r="B28" s="4" t="s">
        <v>643</v>
      </c>
      <c r="C28" s="4" t="s">
        <v>643</v>
      </c>
      <c r="D28" s="26">
        <v>1</v>
      </c>
      <c r="E28" s="26">
        <v>1</v>
      </c>
      <c r="F28" s="33">
        <v>8</v>
      </c>
      <c r="G28" s="34" t="b">
        <v>1</v>
      </c>
      <c r="H28" s="4" t="s">
        <v>644</v>
      </c>
      <c r="I28" s="4" t="s">
        <v>645</v>
      </c>
    </row>
    <row r="29" spans="1:9">
      <c r="A29" s="26">
        <v>18</v>
      </c>
      <c r="B29" s="4" t="s">
        <v>646</v>
      </c>
      <c r="C29" s="4" t="s">
        <v>646</v>
      </c>
      <c r="D29" s="26">
        <v>1</v>
      </c>
      <c r="E29" s="26">
        <v>1</v>
      </c>
      <c r="F29" s="33">
        <v>2</v>
      </c>
      <c r="G29" s="34" t="b">
        <v>1</v>
      </c>
      <c r="H29" s="4" t="s">
        <v>647</v>
      </c>
      <c r="I29" s="4" t="s">
        <v>648</v>
      </c>
    </row>
    <row r="30" spans="1:9">
      <c r="A30" s="26">
        <v>19</v>
      </c>
      <c r="B30" s="4" t="s">
        <v>649</v>
      </c>
      <c r="C30" s="4" t="s">
        <v>649</v>
      </c>
      <c r="D30" s="26">
        <v>1</v>
      </c>
      <c r="E30" s="26">
        <v>1</v>
      </c>
      <c r="F30" s="33">
        <v>7</v>
      </c>
      <c r="G30" s="34" t="b">
        <v>1</v>
      </c>
      <c r="H30" s="4" t="s">
        <v>650</v>
      </c>
      <c r="I30" s="4" t="s">
        <v>651</v>
      </c>
    </row>
    <row r="31" spans="1:9">
      <c r="A31" s="26">
        <v>20</v>
      </c>
      <c r="B31" s="4" t="s">
        <v>652</v>
      </c>
      <c r="C31" s="4" t="s">
        <v>652</v>
      </c>
      <c r="D31" s="26">
        <v>1</v>
      </c>
      <c r="E31" s="26">
        <v>1</v>
      </c>
      <c r="F31" s="33">
        <v>1</v>
      </c>
      <c r="G31" s="34" t="b">
        <v>1</v>
      </c>
      <c r="H31" s="4" t="s">
        <v>653</v>
      </c>
      <c r="I31" s="4" t="s">
        <v>654</v>
      </c>
    </row>
    <row r="32" spans="1:9">
      <c r="A32" s="26">
        <v>21</v>
      </c>
      <c r="B32" s="4" t="s">
        <v>655</v>
      </c>
      <c r="C32" s="4" t="s">
        <v>655</v>
      </c>
      <c r="D32" s="26">
        <v>1</v>
      </c>
      <c r="E32" s="26">
        <v>1</v>
      </c>
      <c r="F32" s="33">
        <v>1</v>
      </c>
      <c r="G32" s="34" t="b">
        <v>1</v>
      </c>
      <c r="H32" s="4" t="s">
        <v>656</v>
      </c>
      <c r="I32" s="4" t="s">
        <v>657</v>
      </c>
    </row>
    <row r="33" spans="1:9">
      <c r="A33" s="26">
        <v>68</v>
      </c>
      <c r="B33" s="4" t="s">
        <v>658</v>
      </c>
      <c r="C33" s="4" t="s">
        <v>658</v>
      </c>
      <c r="D33" s="26">
        <v>1</v>
      </c>
      <c r="E33" s="26">
        <v>1</v>
      </c>
      <c r="F33" s="33">
        <v>5</v>
      </c>
      <c r="G33" s="34" t="b">
        <v>1</v>
      </c>
      <c r="H33" s="4" t="s">
        <v>659</v>
      </c>
      <c r="I33" s="4" t="s">
        <v>660</v>
      </c>
    </row>
    <row r="34" spans="1:9">
      <c r="A34" s="26">
        <v>69</v>
      </c>
      <c r="B34" s="4" t="s">
        <v>661</v>
      </c>
      <c r="C34" s="4" t="s">
        <v>661</v>
      </c>
      <c r="D34" s="26">
        <v>1</v>
      </c>
      <c r="E34" s="26">
        <v>1</v>
      </c>
      <c r="F34" s="33">
        <v>1</v>
      </c>
      <c r="G34" s="34" t="b">
        <v>1</v>
      </c>
      <c r="H34" s="4" t="s">
        <v>662</v>
      </c>
      <c r="I34" s="4" t="s">
        <v>663</v>
      </c>
    </row>
    <row r="35" spans="1:9">
      <c r="A35" s="26">
        <v>70</v>
      </c>
      <c r="B35" s="4" t="s">
        <v>664</v>
      </c>
      <c r="C35" s="4" t="s">
        <v>664</v>
      </c>
      <c r="D35" s="26">
        <v>1</v>
      </c>
      <c r="E35" s="26">
        <v>1</v>
      </c>
      <c r="F35" s="33">
        <v>5</v>
      </c>
      <c r="G35" s="34" t="b">
        <v>1</v>
      </c>
      <c r="H35" s="4" t="s">
        <v>665</v>
      </c>
      <c r="I35" s="4" t="s">
        <v>666</v>
      </c>
    </row>
    <row r="36" spans="1:9">
      <c r="A36" s="26">
        <v>79</v>
      </c>
      <c r="B36" s="4" t="s">
        <v>667</v>
      </c>
      <c r="C36" s="4" t="s">
        <v>667</v>
      </c>
      <c r="D36" s="26">
        <v>1</v>
      </c>
      <c r="E36" s="26">
        <v>1</v>
      </c>
      <c r="F36" s="33">
        <v>1</v>
      </c>
      <c r="G36" s="34" t="b">
        <v>1</v>
      </c>
      <c r="H36" s="4" t="s">
        <v>668</v>
      </c>
      <c r="I36" s="4" t="s">
        <v>636</v>
      </c>
    </row>
    <row r="37" spans="1:9">
      <c r="A37" s="26">
        <v>80</v>
      </c>
      <c r="B37" s="4" t="s">
        <v>669</v>
      </c>
      <c r="C37" s="4" t="s">
        <v>669</v>
      </c>
      <c r="D37" s="26">
        <v>1</v>
      </c>
      <c r="E37" s="26">
        <v>1</v>
      </c>
      <c r="F37" s="33">
        <v>1</v>
      </c>
      <c r="G37" s="34" t="b">
        <v>1</v>
      </c>
      <c r="H37" s="4" t="s">
        <v>670</v>
      </c>
      <c r="I37" s="4" t="s">
        <v>671</v>
      </c>
    </row>
    <row r="38" spans="1:9">
      <c r="A38" s="26">
        <v>82</v>
      </c>
      <c r="B38" s="4" t="s">
        <v>672</v>
      </c>
      <c r="C38" s="4" t="s">
        <v>672</v>
      </c>
      <c r="D38" s="26">
        <v>1</v>
      </c>
      <c r="E38" s="26">
        <v>1</v>
      </c>
      <c r="F38" s="33">
        <v>1</v>
      </c>
      <c r="G38" s="34" t="b">
        <v>1</v>
      </c>
      <c r="H38" s="4" t="s">
        <v>673</v>
      </c>
      <c r="I38" s="4" t="s">
        <v>674</v>
      </c>
    </row>
    <row r="39" spans="1:9">
      <c r="A39" s="26">
        <v>83</v>
      </c>
      <c r="B39" s="4" t="s">
        <v>675</v>
      </c>
      <c r="C39" s="4" t="s">
        <v>675</v>
      </c>
      <c r="D39" s="26">
        <v>1</v>
      </c>
      <c r="E39" s="26">
        <v>0</v>
      </c>
      <c r="F39" s="33">
        <v>1</v>
      </c>
      <c r="G39" s="34" t="b">
        <v>1</v>
      </c>
      <c r="H39" s="4" t="s">
        <v>676</v>
      </c>
      <c r="I39" s="4" t="s">
        <v>677</v>
      </c>
    </row>
    <row r="40" spans="1:9">
      <c r="A40" s="26">
        <v>84</v>
      </c>
      <c r="B40" s="4" t="s">
        <v>678</v>
      </c>
      <c r="C40" s="4" t="s">
        <v>678</v>
      </c>
      <c r="D40" s="26">
        <v>0</v>
      </c>
      <c r="E40" s="26">
        <v>1</v>
      </c>
      <c r="F40" s="33">
        <v>1</v>
      </c>
      <c r="G40" s="34" t="b">
        <v>1</v>
      </c>
      <c r="H40" s="4" t="s">
        <v>69</v>
      </c>
      <c r="I40" s="4" t="s">
        <v>679</v>
      </c>
    </row>
    <row r="41" spans="1:9">
      <c r="A41" s="26">
        <v>85</v>
      </c>
      <c r="B41" s="4" t="s">
        <v>680</v>
      </c>
      <c r="C41" s="4" t="s">
        <v>680</v>
      </c>
      <c r="D41" s="26">
        <v>0</v>
      </c>
      <c r="E41" s="26">
        <v>1</v>
      </c>
      <c r="F41" s="33">
        <v>25</v>
      </c>
      <c r="G41" s="34" t="b">
        <v>1</v>
      </c>
      <c r="H41" s="4" t="s">
        <v>681</v>
      </c>
      <c r="I41" s="4" t="s">
        <v>682</v>
      </c>
    </row>
    <row r="42" spans="1:9">
      <c r="A42" s="26">
        <v>86</v>
      </c>
      <c r="B42" s="4" t="s">
        <v>683</v>
      </c>
      <c r="C42" s="4" t="s">
        <v>683</v>
      </c>
      <c r="D42" s="26">
        <v>0</v>
      </c>
      <c r="E42" s="26">
        <v>1</v>
      </c>
      <c r="F42" s="33">
        <v>6</v>
      </c>
      <c r="G42" s="34" t="b">
        <v>1</v>
      </c>
      <c r="H42" s="4" t="s">
        <v>684</v>
      </c>
      <c r="I42" s="4" t="s">
        <v>685</v>
      </c>
    </row>
    <row r="43" spans="1:9">
      <c r="A43" s="26">
        <v>87</v>
      </c>
      <c r="B43" s="4" t="s">
        <v>686</v>
      </c>
      <c r="C43" s="4" t="s">
        <v>686</v>
      </c>
      <c r="D43" s="26">
        <v>0</v>
      </c>
      <c r="E43" s="26">
        <v>0</v>
      </c>
      <c r="F43" s="33">
        <v>5</v>
      </c>
      <c r="G43" s="34" t="b">
        <v>1</v>
      </c>
      <c r="H43" s="4" t="s">
        <v>687</v>
      </c>
      <c r="I43" s="4" t="s">
        <v>606</v>
      </c>
    </row>
    <row r="44" spans="1:9">
      <c r="A44" s="26">
        <v>88</v>
      </c>
      <c r="B44" s="4" t="s">
        <v>688</v>
      </c>
      <c r="C44" s="4" t="s">
        <v>688</v>
      </c>
      <c r="D44" s="26">
        <v>0</v>
      </c>
      <c r="E44" s="26">
        <v>0</v>
      </c>
      <c r="F44" s="33">
        <v>18</v>
      </c>
      <c r="G44" s="34" t="b">
        <v>1</v>
      </c>
      <c r="H44" s="4" t="s">
        <v>689</v>
      </c>
      <c r="I44" s="4" t="s">
        <v>690</v>
      </c>
    </row>
    <row r="45" spans="1:9">
      <c r="A45" s="26">
        <v>89</v>
      </c>
      <c r="B45" s="4" t="s">
        <v>691</v>
      </c>
      <c r="C45" s="4" t="s">
        <v>691</v>
      </c>
      <c r="D45" s="26">
        <v>0</v>
      </c>
      <c r="E45" s="26">
        <v>0</v>
      </c>
      <c r="F45" s="33">
        <v>8</v>
      </c>
      <c r="G45" s="34" t="b">
        <v>1</v>
      </c>
      <c r="H45" s="4" t="s">
        <v>692</v>
      </c>
      <c r="I45" s="4" t="s">
        <v>693</v>
      </c>
    </row>
    <row r="46" spans="1:9">
      <c r="A46" s="26">
        <v>90</v>
      </c>
      <c r="B46" s="4" t="s">
        <v>694</v>
      </c>
      <c r="C46" s="4" t="s">
        <v>694</v>
      </c>
      <c r="D46" s="26">
        <v>1</v>
      </c>
      <c r="E46" s="26">
        <v>1</v>
      </c>
      <c r="F46" s="33">
        <v>5</v>
      </c>
      <c r="G46" s="34" t="b">
        <v>1</v>
      </c>
      <c r="H46" s="4" t="s">
        <v>695</v>
      </c>
      <c r="I46" s="4" t="s">
        <v>696</v>
      </c>
    </row>
    <row r="47" spans="1:9">
      <c r="A47" s="26">
        <v>91</v>
      </c>
      <c r="B47" s="4" t="s">
        <v>697</v>
      </c>
      <c r="C47" s="4" t="s">
        <v>697</v>
      </c>
      <c r="D47" s="26">
        <v>1</v>
      </c>
      <c r="E47" s="26">
        <v>0</v>
      </c>
      <c r="F47" s="33">
        <v>8</v>
      </c>
      <c r="G47" s="34" t="b">
        <v>1</v>
      </c>
      <c r="H47" s="4" t="s">
        <v>698</v>
      </c>
      <c r="I47" s="4" t="s">
        <v>699</v>
      </c>
    </row>
    <row r="48" spans="1:9">
      <c r="A48" s="26">
        <v>92</v>
      </c>
      <c r="B48" s="4" t="s">
        <v>700</v>
      </c>
      <c r="C48" s="4" t="s">
        <v>700</v>
      </c>
      <c r="D48" s="26">
        <v>0</v>
      </c>
      <c r="E48" s="26">
        <v>1</v>
      </c>
      <c r="F48" s="33">
        <v>1</v>
      </c>
      <c r="G48" s="34" t="b">
        <v>1</v>
      </c>
      <c r="H48" s="4" t="s">
        <v>701</v>
      </c>
      <c r="I48" s="4" t="s">
        <v>702</v>
      </c>
    </row>
    <row r="49" spans="1:9">
      <c r="A49" s="26">
        <v>93</v>
      </c>
      <c r="B49" s="4" t="s">
        <v>703</v>
      </c>
      <c r="C49" s="4" t="s">
        <v>703</v>
      </c>
      <c r="D49" s="26">
        <v>1</v>
      </c>
      <c r="E49" s="26">
        <v>1</v>
      </c>
      <c r="F49" s="33">
        <v>1</v>
      </c>
      <c r="G49" s="34" t="b">
        <v>1</v>
      </c>
      <c r="H49" s="4" t="s">
        <v>62</v>
      </c>
      <c r="I49" s="4" t="s">
        <v>704</v>
      </c>
    </row>
    <row r="50" spans="1:9">
      <c r="A50" s="26">
        <v>94</v>
      </c>
      <c r="B50" s="4" t="s">
        <v>705</v>
      </c>
      <c r="C50" s="4" t="s">
        <v>705</v>
      </c>
      <c r="D50" s="26">
        <v>1</v>
      </c>
      <c r="E50" s="26">
        <v>1</v>
      </c>
      <c r="F50" s="33">
        <v>19</v>
      </c>
      <c r="G50" s="34" t="b">
        <v>1</v>
      </c>
      <c r="H50" s="4" t="s">
        <v>706</v>
      </c>
      <c r="I50" s="4" t="s">
        <v>707</v>
      </c>
    </row>
    <row r="51" spans="1:9">
      <c r="A51" s="26">
        <v>95</v>
      </c>
      <c r="B51" s="4" t="s">
        <v>708</v>
      </c>
      <c r="C51" s="4" t="s">
        <v>708</v>
      </c>
      <c r="D51" s="26">
        <v>1</v>
      </c>
      <c r="E51" s="26">
        <v>1</v>
      </c>
      <c r="F51" s="33">
        <v>1</v>
      </c>
      <c r="G51" s="34" t="b">
        <v>1</v>
      </c>
      <c r="H51" s="4" t="s">
        <v>709</v>
      </c>
      <c r="I51" s="4" t="s">
        <v>710</v>
      </c>
    </row>
    <row r="52" spans="1:9">
      <c r="A52" s="26">
        <v>96</v>
      </c>
      <c r="B52" s="4" t="s">
        <v>711</v>
      </c>
      <c r="C52" s="4" t="s">
        <v>711</v>
      </c>
      <c r="D52" s="26">
        <v>1</v>
      </c>
      <c r="E52" s="26">
        <v>1</v>
      </c>
      <c r="F52" s="33">
        <v>4</v>
      </c>
      <c r="G52" s="34" t="b">
        <v>1</v>
      </c>
      <c r="H52" s="4" t="s">
        <v>712</v>
      </c>
      <c r="I52" s="4" t="s">
        <v>713</v>
      </c>
    </row>
    <row r="53" spans="1:9">
      <c r="A53" s="26">
        <v>97</v>
      </c>
      <c r="B53" s="4" t="s">
        <v>714</v>
      </c>
      <c r="C53" s="4" t="s">
        <v>714</v>
      </c>
      <c r="D53" s="26">
        <v>1</v>
      </c>
      <c r="E53" s="26">
        <v>1</v>
      </c>
      <c r="F53" s="33">
        <v>1</v>
      </c>
      <c r="G53" s="34" t="b">
        <v>1</v>
      </c>
      <c r="H53" s="4" t="s">
        <v>715</v>
      </c>
      <c r="I53" s="4" t="s">
        <v>716</v>
      </c>
    </row>
    <row r="54" spans="1:9">
      <c r="A54" s="26">
        <v>98</v>
      </c>
      <c r="B54" s="4" t="s">
        <v>717</v>
      </c>
      <c r="C54" s="4" t="s">
        <v>717</v>
      </c>
      <c r="D54" s="26">
        <v>1</v>
      </c>
      <c r="E54" s="26">
        <v>1</v>
      </c>
      <c r="F54" s="33">
        <v>1</v>
      </c>
      <c r="G54" s="34" t="b">
        <v>1</v>
      </c>
      <c r="H54" s="4" t="s">
        <v>718</v>
      </c>
      <c r="I54" s="4" t="s">
        <v>719</v>
      </c>
    </row>
    <row r="55" spans="1:9">
      <c r="A55" s="26">
        <v>99</v>
      </c>
      <c r="B55" s="4" t="s">
        <v>720</v>
      </c>
      <c r="C55" s="4" t="s">
        <v>720</v>
      </c>
      <c r="D55" s="26">
        <v>1</v>
      </c>
      <c r="E55" s="26">
        <v>1</v>
      </c>
      <c r="F55" s="33">
        <v>8</v>
      </c>
      <c r="G55" s="34" t="b">
        <v>1</v>
      </c>
      <c r="H55" s="4" t="s">
        <v>721</v>
      </c>
      <c r="I55" s="4" t="s">
        <v>722</v>
      </c>
    </row>
    <row r="56" spans="1:9">
      <c r="A56" s="26">
        <v>100</v>
      </c>
      <c r="B56" s="4" t="s">
        <v>723</v>
      </c>
      <c r="C56" s="4" t="s">
        <v>723</v>
      </c>
      <c r="D56" s="26">
        <v>1</v>
      </c>
      <c r="E56" s="26">
        <v>1</v>
      </c>
      <c r="F56" s="33">
        <v>5</v>
      </c>
      <c r="G56" s="34" t="b">
        <v>1</v>
      </c>
      <c r="H56" s="4" t="s">
        <v>724</v>
      </c>
      <c r="I56" s="4" t="s">
        <v>725</v>
      </c>
    </row>
    <row r="57" spans="1:9">
      <c r="A57" s="26">
        <v>101</v>
      </c>
      <c r="B57" s="4" t="s">
        <v>726</v>
      </c>
      <c r="C57" s="4" t="s">
        <v>726</v>
      </c>
      <c r="D57" s="26">
        <v>1</v>
      </c>
      <c r="E57" s="26">
        <v>1</v>
      </c>
      <c r="F57" s="33">
        <v>1</v>
      </c>
      <c r="G57" s="34" t="b">
        <v>1</v>
      </c>
      <c r="H57" s="4" t="s">
        <v>727</v>
      </c>
      <c r="I57" s="4" t="s">
        <v>728</v>
      </c>
    </row>
    <row r="58" spans="1:9">
      <c r="A58" s="26">
        <v>102</v>
      </c>
      <c r="B58" s="4" t="s">
        <v>729</v>
      </c>
      <c r="C58" s="4" t="s">
        <v>729</v>
      </c>
      <c r="D58" s="26">
        <v>0</v>
      </c>
      <c r="E58" s="26">
        <v>0</v>
      </c>
      <c r="F58" s="33">
        <v>1</v>
      </c>
      <c r="G58" s="34" t="b">
        <v>1</v>
      </c>
      <c r="H58" s="4" t="s">
        <v>730</v>
      </c>
      <c r="I58" s="4" t="s">
        <v>731</v>
      </c>
    </row>
    <row r="59" spans="1:9">
      <c r="A59" s="26">
        <v>103</v>
      </c>
      <c r="B59" s="4" t="s">
        <v>732</v>
      </c>
      <c r="C59" s="4" t="s">
        <v>732</v>
      </c>
      <c r="D59" s="26">
        <v>1</v>
      </c>
      <c r="E59" s="26">
        <v>1</v>
      </c>
      <c r="F59" s="33">
        <v>22</v>
      </c>
      <c r="G59" s="34" t="b">
        <v>1</v>
      </c>
      <c r="H59" s="4" t="s">
        <v>733</v>
      </c>
      <c r="I59" s="4" t="s">
        <v>734</v>
      </c>
    </row>
    <row r="60" spans="1:9">
      <c r="A60" s="26">
        <v>104</v>
      </c>
      <c r="B60" s="4" t="s">
        <v>735</v>
      </c>
      <c r="C60" s="4" t="s">
        <v>735</v>
      </c>
      <c r="D60" s="26">
        <v>1</v>
      </c>
      <c r="E60" s="26">
        <v>1</v>
      </c>
      <c r="F60" s="33">
        <v>5</v>
      </c>
      <c r="G60" s="34" t="b">
        <v>1</v>
      </c>
      <c r="H60" s="4" t="s">
        <v>736</v>
      </c>
      <c r="I60" s="4" t="s">
        <v>737</v>
      </c>
    </row>
    <row r="61" spans="1:9">
      <c r="A61" s="26">
        <v>106</v>
      </c>
      <c r="B61" s="4" t="s">
        <v>738</v>
      </c>
      <c r="C61" s="4" t="s">
        <v>738</v>
      </c>
      <c r="D61" s="26">
        <v>0</v>
      </c>
      <c r="E61" s="26">
        <v>1</v>
      </c>
      <c r="F61" s="33">
        <v>7</v>
      </c>
      <c r="G61" s="34" t="b">
        <v>1</v>
      </c>
      <c r="H61" s="4" t="s">
        <v>739</v>
      </c>
      <c r="I61" s="4" t="s">
        <v>740</v>
      </c>
    </row>
    <row r="62" spans="1:9">
      <c r="A62" s="26">
        <v>107</v>
      </c>
      <c r="B62" s="4" t="s">
        <v>741</v>
      </c>
      <c r="C62" s="4" t="s">
        <v>741</v>
      </c>
      <c r="D62" s="26">
        <v>1</v>
      </c>
      <c r="E62" s="26">
        <v>0</v>
      </c>
      <c r="F62" s="33">
        <v>8</v>
      </c>
      <c r="G62" s="34" t="b">
        <v>1</v>
      </c>
      <c r="H62" s="4" t="s">
        <v>742</v>
      </c>
      <c r="I62" s="4" t="s">
        <v>743</v>
      </c>
    </row>
    <row r="63" spans="1:9">
      <c r="A63" s="26">
        <v>108</v>
      </c>
      <c r="B63" s="4" t="s">
        <v>744</v>
      </c>
      <c r="C63" s="4" t="s">
        <v>744</v>
      </c>
      <c r="D63" s="26">
        <v>0</v>
      </c>
      <c r="E63" s="26">
        <v>0</v>
      </c>
      <c r="F63" s="33">
        <v>5</v>
      </c>
      <c r="G63" s="34" t="b">
        <v>1</v>
      </c>
      <c r="H63" s="4" t="s">
        <v>745</v>
      </c>
      <c r="I63" s="4" t="s">
        <v>746</v>
      </c>
    </row>
    <row r="64" spans="1:9">
      <c r="A64" s="26">
        <v>109</v>
      </c>
      <c r="B64" s="4" t="s">
        <v>747</v>
      </c>
      <c r="C64" s="4" t="s">
        <v>747</v>
      </c>
      <c r="D64" s="26">
        <v>0</v>
      </c>
      <c r="E64" s="26">
        <v>0</v>
      </c>
      <c r="F64" s="33">
        <v>1</v>
      </c>
      <c r="G64" s="34" t="b">
        <v>1</v>
      </c>
      <c r="H64" s="4" t="s">
        <v>748</v>
      </c>
      <c r="I64" s="4" t="s">
        <v>749</v>
      </c>
    </row>
    <row r="65" spans="1:9">
      <c r="A65" s="26">
        <v>110</v>
      </c>
      <c r="B65" s="4" t="s">
        <v>750</v>
      </c>
      <c r="C65" s="4" t="s">
        <v>750</v>
      </c>
      <c r="D65" s="26">
        <v>0</v>
      </c>
      <c r="E65" s="26">
        <v>0</v>
      </c>
      <c r="F65" s="33">
        <v>7</v>
      </c>
      <c r="G65" s="34" t="b">
        <v>1</v>
      </c>
      <c r="H65" s="4" t="s">
        <v>751</v>
      </c>
      <c r="I65" s="4" t="s">
        <v>752</v>
      </c>
    </row>
    <row r="66" spans="1:9">
      <c r="A66" s="26">
        <v>112</v>
      </c>
      <c r="B66" s="4" t="s">
        <v>753</v>
      </c>
      <c r="C66" s="4" t="s">
        <v>753</v>
      </c>
      <c r="D66" s="26">
        <v>0</v>
      </c>
      <c r="E66" s="26">
        <v>2</v>
      </c>
      <c r="F66" s="33">
        <v>25</v>
      </c>
      <c r="G66" s="34" t="b">
        <v>1</v>
      </c>
      <c r="H66" s="4" t="s">
        <v>754</v>
      </c>
      <c r="I66" s="4" t="s">
        <v>755</v>
      </c>
    </row>
    <row r="67" spans="1:9">
      <c r="A67" s="26">
        <v>113</v>
      </c>
      <c r="B67" s="4" t="s">
        <v>756</v>
      </c>
      <c r="C67" s="4" t="s">
        <v>756</v>
      </c>
      <c r="D67" s="26">
        <v>0</v>
      </c>
      <c r="E67" s="26">
        <v>3</v>
      </c>
      <c r="F67" s="33">
        <v>4</v>
      </c>
      <c r="G67" s="34" t="b">
        <v>1</v>
      </c>
      <c r="H67" s="4" t="s">
        <v>757</v>
      </c>
      <c r="I67" s="4" t="s">
        <v>758</v>
      </c>
    </row>
    <row r="68" spans="1:9">
      <c r="A68" s="26">
        <v>114</v>
      </c>
      <c r="B68" s="4" t="s">
        <v>759</v>
      </c>
      <c r="C68" s="4" t="s">
        <v>759</v>
      </c>
      <c r="D68" s="26">
        <v>0</v>
      </c>
      <c r="E68" s="26">
        <v>2</v>
      </c>
      <c r="F68" s="33">
        <v>5</v>
      </c>
      <c r="G68" s="34" t="b">
        <v>1</v>
      </c>
      <c r="H68" s="4" t="s">
        <v>760</v>
      </c>
      <c r="I68" s="4" t="s">
        <v>761</v>
      </c>
    </row>
    <row r="69" spans="1:9">
      <c r="A69" s="26">
        <v>115</v>
      </c>
      <c r="B69" s="4" t="s">
        <v>762</v>
      </c>
      <c r="C69" s="4" t="s">
        <v>762</v>
      </c>
      <c r="D69" s="26">
        <v>0</v>
      </c>
      <c r="E69" s="26">
        <v>1</v>
      </c>
      <c r="F69" s="33">
        <v>7</v>
      </c>
      <c r="G69" s="34" t="b">
        <v>1</v>
      </c>
      <c r="H69" s="4" t="s">
        <v>763</v>
      </c>
      <c r="I69" s="4" t="s">
        <v>764</v>
      </c>
    </row>
    <row r="70" spans="1:9">
      <c r="A70" s="26">
        <v>116</v>
      </c>
      <c r="B70" s="4" t="s">
        <v>765</v>
      </c>
      <c r="C70" s="4" t="s">
        <v>765</v>
      </c>
      <c r="D70" s="26">
        <v>0</v>
      </c>
      <c r="E70" s="26">
        <v>3</v>
      </c>
      <c r="F70" s="33">
        <v>5</v>
      </c>
      <c r="G70" s="34" t="b">
        <v>1</v>
      </c>
      <c r="H70" s="4" t="s">
        <v>766</v>
      </c>
      <c r="I70" s="4" t="s">
        <v>767</v>
      </c>
    </row>
    <row r="71" spans="1:9">
      <c r="A71" s="26">
        <v>118</v>
      </c>
      <c r="B71" s="4" t="s">
        <v>768</v>
      </c>
      <c r="C71" s="4" t="s">
        <v>768</v>
      </c>
      <c r="D71" s="26">
        <v>1</v>
      </c>
      <c r="E71" s="26">
        <v>2</v>
      </c>
      <c r="F71" s="33">
        <v>7</v>
      </c>
      <c r="G71" s="34" t="b">
        <v>1</v>
      </c>
      <c r="H71" s="4" t="s">
        <v>769</v>
      </c>
      <c r="I71" s="4" t="s">
        <v>770</v>
      </c>
    </row>
    <row r="72" spans="1:9">
      <c r="A72" s="26">
        <v>119</v>
      </c>
      <c r="B72" s="4" t="s">
        <v>771</v>
      </c>
      <c r="C72" s="4" t="s">
        <v>771</v>
      </c>
      <c r="D72" s="26">
        <v>1</v>
      </c>
      <c r="E72" s="26">
        <v>1</v>
      </c>
      <c r="F72" s="33">
        <v>1</v>
      </c>
      <c r="G72" s="34" t="b">
        <v>1</v>
      </c>
      <c r="H72" s="4" t="s">
        <v>772</v>
      </c>
      <c r="I72" s="4" t="s">
        <v>773</v>
      </c>
    </row>
    <row r="73" spans="1:9">
      <c r="A73" s="26">
        <v>120</v>
      </c>
      <c r="B73" s="4" t="s">
        <v>774</v>
      </c>
      <c r="C73" s="4" t="s">
        <v>774</v>
      </c>
      <c r="D73" s="26">
        <v>1</v>
      </c>
      <c r="E73" s="26">
        <v>3</v>
      </c>
      <c r="F73" s="33">
        <v>5</v>
      </c>
      <c r="G73" s="34" t="b">
        <v>1</v>
      </c>
      <c r="H73" s="4" t="s">
        <v>93</v>
      </c>
      <c r="I73" s="4" t="s">
        <v>775</v>
      </c>
    </row>
    <row r="74" spans="1:9">
      <c r="A74" s="26">
        <v>121</v>
      </c>
      <c r="B74" s="4" t="s">
        <v>776</v>
      </c>
      <c r="C74" s="4" t="s">
        <v>776</v>
      </c>
      <c r="D74" s="26">
        <v>1</v>
      </c>
      <c r="E74" s="26">
        <v>1</v>
      </c>
      <c r="F74" s="33">
        <v>5</v>
      </c>
      <c r="G74" s="34" t="b">
        <v>1</v>
      </c>
      <c r="H74" s="4" t="s">
        <v>777</v>
      </c>
      <c r="I74" s="4" t="s">
        <v>778</v>
      </c>
    </row>
    <row r="75" spans="1:9">
      <c r="A75" s="26">
        <v>122</v>
      </c>
      <c r="B75" s="4" t="s">
        <v>779</v>
      </c>
      <c r="C75" s="4" t="s">
        <v>779</v>
      </c>
      <c r="D75" s="26">
        <v>0</v>
      </c>
      <c r="E75" s="26">
        <v>2</v>
      </c>
      <c r="F75" s="33">
        <v>1</v>
      </c>
      <c r="G75" s="34" t="b">
        <v>1</v>
      </c>
      <c r="H75" s="4" t="s">
        <v>780</v>
      </c>
      <c r="I75" s="4" t="s">
        <v>781</v>
      </c>
    </row>
    <row r="76" spans="1:9">
      <c r="A76" s="26">
        <v>123</v>
      </c>
      <c r="B76" s="4" t="s">
        <v>782</v>
      </c>
      <c r="C76" s="4" t="s">
        <v>782</v>
      </c>
      <c r="D76" s="26">
        <v>1</v>
      </c>
      <c r="E76" s="26">
        <v>1</v>
      </c>
      <c r="F76" s="33">
        <v>5</v>
      </c>
      <c r="G76" s="34" t="b">
        <v>1</v>
      </c>
      <c r="H76" s="4" t="s">
        <v>783</v>
      </c>
      <c r="I76" s="4" t="s">
        <v>784</v>
      </c>
    </row>
    <row r="77" spans="1:9">
      <c r="A77" s="26">
        <v>125</v>
      </c>
      <c r="B77" s="4" t="s">
        <v>785</v>
      </c>
      <c r="C77" s="4" t="s">
        <v>785</v>
      </c>
      <c r="D77" s="26">
        <v>1</v>
      </c>
      <c r="E77" s="26">
        <v>2</v>
      </c>
      <c r="F77" s="33">
        <v>4</v>
      </c>
      <c r="G77" s="34" t="b">
        <v>1</v>
      </c>
      <c r="H77" s="4" t="s">
        <v>786</v>
      </c>
      <c r="I77" s="4" t="s">
        <v>787</v>
      </c>
    </row>
    <row r="78" spans="1:9">
      <c r="A78" s="26">
        <v>126</v>
      </c>
      <c r="B78" s="4" t="s">
        <v>788</v>
      </c>
      <c r="C78" s="4" t="s">
        <v>788</v>
      </c>
      <c r="D78" s="26">
        <v>0</v>
      </c>
      <c r="E78" s="26">
        <v>1</v>
      </c>
      <c r="F78" s="33">
        <v>5</v>
      </c>
      <c r="G78" s="34" t="b">
        <v>1</v>
      </c>
      <c r="H78" s="4" t="s">
        <v>789</v>
      </c>
      <c r="I78" s="4" t="s">
        <v>790</v>
      </c>
    </row>
    <row r="79" spans="1:9">
      <c r="A79" s="26">
        <v>127</v>
      </c>
      <c r="B79" s="4" t="s">
        <v>791</v>
      </c>
      <c r="C79" s="4" t="s">
        <v>791</v>
      </c>
      <c r="D79" s="26">
        <v>0</v>
      </c>
      <c r="E79" s="26">
        <v>2</v>
      </c>
      <c r="F79" s="33">
        <v>1</v>
      </c>
      <c r="G79" s="34" t="b">
        <v>1</v>
      </c>
      <c r="H79" s="4" t="s">
        <v>792</v>
      </c>
      <c r="I79" s="4" t="s">
        <v>793</v>
      </c>
    </row>
    <row r="80" spans="1:9">
      <c r="A80" s="26">
        <v>128</v>
      </c>
      <c r="B80" s="4" t="s">
        <v>794</v>
      </c>
      <c r="C80" s="4" t="s">
        <v>794</v>
      </c>
      <c r="D80" s="26">
        <v>1</v>
      </c>
      <c r="E80" s="26">
        <v>1</v>
      </c>
      <c r="F80" s="33">
        <v>5</v>
      </c>
      <c r="G80" s="34" t="b">
        <v>1</v>
      </c>
      <c r="H80" s="4" t="s">
        <v>795</v>
      </c>
      <c r="I80" s="4" t="s">
        <v>796</v>
      </c>
    </row>
    <row r="81" spans="1:9">
      <c r="A81" s="26">
        <v>129</v>
      </c>
      <c r="B81" s="4" t="s">
        <v>797</v>
      </c>
      <c r="C81" s="4" t="s">
        <v>797</v>
      </c>
      <c r="D81" s="26">
        <v>0</v>
      </c>
      <c r="E81" s="26">
        <v>2</v>
      </c>
      <c r="F81" s="33">
        <v>4</v>
      </c>
      <c r="G81" s="34" t="b">
        <v>1</v>
      </c>
      <c r="H81" s="4" t="s">
        <v>798</v>
      </c>
      <c r="I81" s="4" t="s">
        <v>799</v>
      </c>
    </row>
    <row r="82" spans="1:9">
      <c r="A82" s="26">
        <v>131</v>
      </c>
      <c r="B82" s="4" t="s">
        <v>28</v>
      </c>
      <c r="C82" s="4" t="s">
        <v>28</v>
      </c>
      <c r="D82" s="26">
        <v>0</v>
      </c>
      <c r="E82" s="26">
        <v>1</v>
      </c>
      <c r="F82" s="33">
        <v>1</v>
      </c>
      <c r="G82" s="34" t="b">
        <v>1</v>
      </c>
      <c r="H82" s="4" t="s">
        <v>800</v>
      </c>
      <c r="I82" s="4" t="s">
        <v>801</v>
      </c>
    </row>
    <row r="83" spans="1:9">
      <c r="A83" s="26">
        <v>132</v>
      </c>
      <c r="B83" s="4" t="s">
        <v>802</v>
      </c>
      <c r="C83" s="4" t="s">
        <v>802</v>
      </c>
      <c r="D83" s="26">
        <v>1</v>
      </c>
      <c r="E83" s="26">
        <v>1</v>
      </c>
      <c r="F83" s="33">
        <v>1</v>
      </c>
      <c r="G83" s="34" t="b">
        <v>1</v>
      </c>
      <c r="H83" s="4" t="s">
        <v>803</v>
      </c>
      <c r="I83" s="4" t="s">
        <v>804</v>
      </c>
    </row>
    <row r="84" spans="1:9">
      <c r="A84" s="26">
        <v>135</v>
      </c>
      <c r="B84" s="4" t="s">
        <v>805</v>
      </c>
      <c r="C84" s="4" t="s">
        <v>805</v>
      </c>
      <c r="D84" s="26">
        <v>1</v>
      </c>
      <c r="E84" s="26">
        <v>1</v>
      </c>
      <c r="F84" s="33">
        <v>1</v>
      </c>
      <c r="G84" s="34" t="b">
        <v>1</v>
      </c>
      <c r="H84" s="4" t="s">
        <v>806</v>
      </c>
      <c r="I84" s="4" t="s">
        <v>807</v>
      </c>
    </row>
    <row r="85" spans="1:9">
      <c r="A85" s="26">
        <v>136</v>
      </c>
      <c r="B85" s="4" t="s">
        <v>808</v>
      </c>
      <c r="C85" s="4" t="s">
        <v>808</v>
      </c>
      <c r="D85" s="26">
        <v>0</v>
      </c>
      <c r="E85" s="26">
        <v>0</v>
      </c>
      <c r="F85" s="33">
        <v>1</v>
      </c>
      <c r="G85" s="34" t="b">
        <v>1</v>
      </c>
      <c r="H85" s="4" t="s">
        <v>809</v>
      </c>
      <c r="I85" s="4" t="s">
        <v>810</v>
      </c>
    </row>
    <row r="86" spans="1:9">
      <c r="A86" s="26">
        <v>137</v>
      </c>
      <c r="B86" s="4" t="s">
        <v>811</v>
      </c>
      <c r="C86" s="4" t="s">
        <v>811</v>
      </c>
      <c r="D86" s="26">
        <v>0</v>
      </c>
      <c r="E86" s="26">
        <v>0</v>
      </c>
      <c r="F86" s="33">
        <v>15</v>
      </c>
      <c r="G86" s="34" t="b">
        <v>1</v>
      </c>
      <c r="H86" s="4" t="s">
        <v>812</v>
      </c>
      <c r="I86" s="4" t="s">
        <v>813</v>
      </c>
    </row>
    <row r="87" spans="1:9">
      <c r="A87" s="26">
        <v>138</v>
      </c>
      <c r="B87" s="4" t="s">
        <v>814</v>
      </c>
      <c r="C87" s="4" t="s">
        <v>814</v>
      </c>
      <c r="D87" s="26">
        <v>1</v>
      </c>
      <c r="E87" s="26">
        <v>1</v>
      </c>
      <c r="F87" s="33">
        <v>12</v>
      </c>
      <c r="G87" s="34" t="b">
        <v>1</v>
      </c>
      <c r="H87" s="4" t="s">
        <v>815</v>
      </c>
      <c r="I87" s="4" t="s">
        <v>816</v>
      </c>
    </row>
    <row r="88" spans="1:9">
      <c r="A88" s="26">
        <v>139</v>
      </c>
      <c r="B88" s="4" t="s">
        <v>817</v>
      </c>
      <c r="C88" s="4" t="s">
        <v>817</v>
      </c>
      <c r="D88" s="26">
        <v>0</v>
      </c>
      <c r="E88" s="26">
        <v>0</v>
      </c>
      <c r="F88" s="33">
        <v>1</v>
      </c>
      <c r="G88" s="34" t="b">
        <v>1</v>
      </c>
      <c r="H88" s="4" t="s">
        <v>818</v>
      </c>
      <c r="I88" s="4" t="s">
        <v>819</v>
      </c>
    </row>
    <row r="89" spans="1:9">
      <c r="A89" s="26">
        <v>140</v>
      </c>
      <c r="B89" s="4" t="s">
        <v>820</v>
      </c>
      <c r="C89" s="4" t="s">
        <v>820</v>
      </c>
      <c r="D89" s="26">
        <v>0</v>
      </c>
      <c r="E89" s="26">
        <v>0</v>
      </c>
      <c r="F89" s="33">
        <v>9</v>
      </c>
      <c r="G89" s="34" t="b">
        <v>1</v>
      </c>
      <c r="H89" s="4" t="s">
        <v>821</v>
      </c>
      <c r="I89" s="4" t="s">
        <v>822</v>
      </c>
    </row>
    <row r="90" spans="1:9">
      <c r="A90" s="26">
        <v>141</v>
      </c>
      <c r="B90" s="4" t="s">
        <v>823</v>
      </c>
      <c r="C90" s="4" t="s">
        <v>823</v>
      </c>
      <c r="D90" s="26">
        <v>0</v>
      </c>
      <c r="E90" s="26">
        <v>0</v>
      </c>
      <c r="F90" s="33">
        <v>2</v>
      </c>
      <c r="G90" s="34" t="b">
        <v>1</v>
      </c>
      <c r="H90" s="4" t="s">
        <v>824</v>
      </c>
      <c r="I90" s="4" t="s">
        <v>825</v>
      </c>
    </row>
    <row r="91" spans="1:9">
      <c r="A91" s="26">
        <v>142</v>
      </c>
      <c r="B91" s="4" t="s">
        <v>826</v>
      </c>
      <c r="C91" s="4" t="s">
        <v>826</v>
      </c>
      <c r="D91" s="26">
        <v>0</v>
      </c>
      <c r="E91" s="26">
        <v>0</v>
      </c>
      <c r="F91" s="33">
        <v>1</v>
      </c>
      <c r="G91" s="34" t="b">
        <v>1</v>
      </c>
      <c r="H91" s="4" t="s">
        <v>827</v>
      </c>
      <c r="I91" s="4" t="s">
        <v>828</v>
      </c>
    </row>
    <row r="92" spans="1:9">
      <c r="A92" s="26">
        <v>143</v>
      </c>
      <c r="B92" s="4" t="s">
        <v>829</v>
      </c>
      <c r="C92" s="4" t="s">
        <v>829</v>
      </c>
      <c r="D92" s="26">
        <v>0</v>
      </c>
      <c r="E92" s="26">
        <v>0</v>
      </c>
      <c r="F92" s="33">
        <v>1</v>
      </c>
      <c r="G92" s="34" t="b">
        <v>1</v>
      </c>
      <c r="H92" s="4" t="s">
        <v>830</v>
      </c>
      <c r="I92" s="4" t="s">
        <v>831</v>
      </c>
    </row>
    <row r="93" spans="1:9">
      <c r="A93" s="26">
        <v>144</v>
      </c>
      <c r="B93" s="4" t="s">
        <v>832</v>
      </c>
      <c r="C93" s="4" t="s">
        <v>832</v>
      </c>
      <c r="D93" s="26">
        <v>0</v>
      </c>
      <c r="E93" s="26">
        <v>0</v>
      </c>
      <c r="F93" s="33">
        <v>5</v>
      </c>
      <c r="G93" s="34" t="b">
        <v>1</v>
      </c>
      <c r="H93" s="4" t="s">
        <v>66</v>
      </c>
      <c r="I93" s="4" t="s">
        <v>833</v>
      </c>
    </row>
    <row r="94" spans="1:9">
      <c r="A94" s="26">
        <v>145</v>
      </c>
      <c r="B94" s="4" t="s">
        <v>834</v>
      </c>
      <c r="C94" s="4" t="s">
        <v>834</v>
      </c>
      <c r="D94" s="26">
        <v>0</v>
      </c>
      <c r="E94" s="26">
        <v>0</v>
      </c>
      <c r="F94" s="33">
        <v>7</v>
      </c>
      <c r="G94" s="34" t="b">
        <v>1</v>
      </c>
      <c r="H94" s="4" t="s">
        <v>835</v>
      </c>
      <c r="I94" s="4" t="s">
        <v>836</v>
      </c>
    </row>
    <row r="95" spans="1:9">
      <c r="A95" s="26">
        <v>147</v>
      </c>
      <c r="B95" s="4" t="s">
        <v>837</v>
      </c>
      <c r="C95" s="4" t="s">
        <v>837</v>
      </c>
      <c r="D95" s="26">
        <v>0</v>
      </c>
      <c r="E95" s="26">
        <v>0</v>
      </c>
      <c r="F95" s="33">
        <v>5</v>
      </c>
      <c r="G95" s="34" t="b">
        <v>1</v>
      </c>
      <c r="H95" s="4" t="s">
        <v>838</v>
      </c>
      <c r="I95" s="4" t="s">
        <v>839</v>
      </c>
    </row>
    <row r="96" spans="1:9">
      <c r="A96" s="26">
        <v>148</v>
      </c>
      <c r="B96" s="4" t="s">
        <v>840</v>
      </c>
      <c r="C96" s="4" t="s">
        <v>840</v>
      </c>
      <c r="D96" s="26">
        <v>0</v>
      </c>
      <c r="E96" s="26">
        <v>0</v>
      </c>
      <c r="F96" s="33">
        <v>9</v>
      </c>
      <c r="G96" s="34" t="b">
        <v>1</v>
      </c>
      <c r="H96" s="4" t="s">
        <v>841</v>
      </c>
      <c r="I96" s="4" t="s">
        <v>842</v>
      </c>
    </row>
    <row r="97" spans="1:9">
      <c r="A97" s="26">
        <v>149</v>
      </c>
      <c r="B97" s="4" t="s">
        <v>843</v>
      </c>
      <c r="C97" s="4" t="s">
        <v>843</v>
      </c>
      <c r="D97" s="26">
        <v>0</v>
      </c>
      <c r="E97" s="26">
        <v>0</v>
      </c>
      <c r="F97" s="33">
        <v>7</v>
      </c>
      <c r="G97" s="34" t="b">
        <v>1</v>
      </c>
      <c r="H97" s="4" t="s">
        <v>844</v>
      </c>
      <c r="I97" s="4" t="s">
        <v>845</v>
      </c>
    </row>
    <row r="98" spans="1:9">
      <c r="A98" s="26">
        <v>151</v>
      </c>
      <c r="B98" s="4" t="s">
        <v>846</v>
      </c>
      <c r="C98" s="4" t="s">
        <v>846</v>
      </c>
      <c r="D98" s="26">
        <v>0</v>
      </c>
      <c r="E98" s="26">
        <v>0</v>
      </c>
      <c r="F98" s="33">
        <v>2</v>
      </c>
      <c r="G98" s="34" t="b">
        <v>1</v>
      </c>
      <c r="H98" s="4" t="s">
        <v>847</v>
      </c>
      <c r="I98" s="4" t="s">
        <v>848</v>
      </c>
    </row>
    <row r="99" spans="1:9">
      <c r="A99" s="26">
        <v>152</v>
      </c>
      <c r="B99" s="4" t="s">
        <v>785</v>
      </c>
      <c r="C99" s="4" t="s">
        <v>785</v>
      </c>
      <c r="D99" s="26">
        <v>1</v>
      </c>
      <c r="E99" s="26">
        <v>1</v>
      </c>
      <c r="F99" s="33">
        <v>5</v>
      </c>
      <c r="G99" s="34" t="b">
        <v>1</v>
      </c>
      <c r="H99" s="4" t="s">
        <v>849</v>
      </c>
      <c r="I99" s="4" t="s">
        <v>850</v>
      </c>
    </row>
    <row r="100" spans="1:9">
      <c r="A100" s="26">
        <v>153</v>
      </c>
      <c r="B100" s="4" t="s">
        <v>851</v>
      </c>
      <c r="C100" s="4" t="s">
        <v>851</v>
      </c>
      <c r="D100" s="26">
        <v>0</v>
      </c>
      <c r="E100" s="26">
        <v>0</v>
      </c>
      <c r="F100" s="33">
        <v>1</v>
      </c>
      <c r="G100" s="34" t="b">
        <v>1</v>
      </c>
      <c r="H100" s="4" t="s">
        <v>852</v>
      </c>
      <c r="I100" s="4" t="s">
        <v>853</v>
      </c>
    </row>
    <row r="101" spans="1:9">
      <c r="A101" s="26">
        <v>154</v>
      </c>
      <c r="B101" s="4" t="s">
        <v>854</v>
      </c>
      <c r="C101" s="4" t="s">
        <v>854</v>
      </c>
      <c r="D101" s="26">
        <v>0</v>
      </c>
      <c r="E101" s="26">
        <v>0</v>
      </c>
      <c r="F101" s="33">
        <v>1</v>
      </c>
      <c r="G101" s="34" t="b">
        <v>1</v>
      </c>
      <c r="H101" s="4" t="s">
        <v>855</v>
      </c>
      <c r="I101" s="4" t="s">
        <v>856</v>
      </c>
    </row>
    <row r="102" spans="1:9">
      <c r="A102" s="26">
        <v>155</v>
      </c>
      <c r="B102" s="4" t="s">
        <v>857</v>
      </c>
      <c r="C102" s="4" t="s">
        <v>857</v>
      </c>
      <c r="D102" s="26">
        <v>0</v>
      </c>
      <c r="E102" s="26">
        <v>0</v>
      </c>
      <c r="F102" s="33">
        <v>5</v>
      </c>
      <c r="G102" s="34" t="b">
        <v>1</v>
      </c>
      <c r="H102" s="4" t="s">
        <v>858</v>
      </c>
      <c r="I102" s="4" t="s">
        <v>859</v>
      </c>
    </row>
    <row r="103" spans="1:9">
      <c r="A103" s="26">
        <v>156</v>
      </c>
      <c r="B103" s="4" t="s">
        <v>860</v>
      </c>
      <c r="C103" s="4" t="s">
        <v>860</v>
      </c>
      <c r="D103" s="26">
        <v>0</v>
      </c>
      <c r="E103" s="26">
        <v>0</v>
      </c>
      <c r="F103" s="33">
        <v>1</v>
      </c>
      <c r="G103" s="34" t="b">
        <v>1</v>
      </c>
      <c r="H103" s="4" t="s">
        <v>861</v>
      </c>
      <c r="I103" s="4" t="s">
        <v>862</v>
      </c>
    </row>
    <row r="104" spans="1:9">
      <c r="A104" s="26">
        <v>157</v>
      </c>
      <c r="B104" s="4" t="s">
        <v>863</v>
      </c>
      <c r="C104" s="4" t="s">
        <v>863</v>
      </c>
      <c r="D104" s="26">
        <v>0</v>
      </c>
      <c r="E104" s="26">
        <v>0</v>
      </c>
      <c r="F104" s="33">
        <v>1</v>
      </c>
      <c r="G104" s="34" t="b">
        <v>1</v>
      </c>
      <c r="H104" s="4" t="s">
        <v>864</v>
      </c>
      <c r="I104" s="4" t="s">
        <v>95</v>
      </c>
    </row>
    <row r="105" spans="1:9">
      <c r="A105" s="26">
        <v>158</v>
      </c>
      <c r="B105" s="4" t="s">
        <v>865</v>
      </c>
      <c r="C105" s="4" t="s">
        <v>865</v>
      </c>
      <c r="D105" s="26">
        <v>0</v>
      </c>
      <c r="E105" s="26">
        <v>0</v>
      </c>
      <c r="F105" s="33">
        <v>1</v>
      </c>
      <c r="G105" s="34" t="b">
        <v>1</v>
      </c>
      <c r="H105" s="4" t="s">
        <v>866</v>
      </c>
      <c r="I105" s="4" t="s">
        <v>867</v>
      </c>
    </row>
  </sheetData>
  <autoFilter ref="A11:I105" xr:uid="{00000000-0009-0000-0000-00000F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5"/>
  <sheetViews>
    <sheetView workbookViewId="0"/>
  </sheetViews>
  <sheetFormatPr defaultColWidth="9" defaultRowHeight="14.4"/>
  <cols>
    <col min="1" max="1" width="13.6640625" style="5" customWidth="1"/>
    <col min="2" max="2" width="13.33203125" customWidth="1"/>
    <col min="3" max="3" width="18.33203125" customWidth="1"/>
    <col min="4" max="4" width="13.44140625" customWidth="1"/>
    <col min="5" max="5" width="18.33203125" customWidth="1"/>
    <col min="6" max="6" width="17.44140625" customWidth="1"/>
    <col min="7" max="7" width="49.44140625" customWidth="1"/>
    <col min="8" max="9" width="12.33203125" customWidth="1"/>
    <col min="10" max="10" width="24.44140625" customWidth="1"/>
  </cols>
  <sheetData>
    <row r="1" spans="1:10">
      <c r="A1" s="47" t="s">
        <v>100</v>
      </c>
      <c r="B1" s="3" t="s">
        <v>97</v>
      </c>
      <c r="C1" s="3" t="s">
        <v>101</v>
      </c>
      <c r="D1" s="3" t="s">
        <v>98</v>
      </c>
      <c r="E1" s="3" t="s">
        <v>102</v>
      </c>
      <c r="F1" s="3" t="s">
        <v>103</v>
      </c>
      <c r="G1" s="3" t="s">
        <v>104</v>
      </c>
      <c r="H1" s="3" t="s">
        <v>105</v>
      </c>
      <c r="I1" s="3" t="s">
        <v>106</v>
      </c>
      <c r="J1" s="3" t="s">
        <v>107</v>
      </c>
    </row>
    <row r="2" spans="1:10">
      <c r="A2" s="26">
        <v>1</v>
      </c>
      <c r="B2" s="4" t="s">
        <v>108</v>
      </c>
      <c r="C2" s="4" t="s">
        <v>108</v>
      </c>
      <c r="D2" s="4" t="s">
        <v>99</v>
      </c>
      <c r="E2" s="4" t="b">
        <v>1</v>
      </c>
      <c r="F2" s="4" t="s">
        <v>109</v>
      </c>
      <c r="G2" s="4" t="s">
        <v>110</v>
      </c>
      <c r="H2" s="48">
        <v>0</v>
      </c>
      <c r="I2" s="51">
        <v>0</v>
      </c>
      <c r="J2" s="51" t="s">
        <v>111</v>
      </c>
    </row>
    <row r="3" spans="1:10" ht="28.8">
      <c r="A3" s="26">
        <v>2</v>
      </c>
      <c r="B3" s="4" t="s">
        <v>112</v>
      </c>
      <c r="C3" s="4" t="s">
        <v>112</v>
      </c>
      <c r="D3" s="4" t="s">
        <v>99</v>
      </c>
      <c r="E3" s="4" t="b">
        <v>1</v>
      </c>
      <c r="F3" s="4" t="s">
        <v>113</v>
      </c>
      <c r="G3" s="49" t="s">
        <v>114</v>
      </c>
      <c r="H3" s="50"/>
      <c r="I3" s="52"/>
      <c r="J3" s="52"/>
    </row>
    <row r="4" spans="1:10">
      <c r="A4" s="26">
        <v>3</v>
      </c>
      <c r="B4" s="4" t="s">
        <v>115</v>
      </c>
      <c r="C4" s="4" t="s">
        <v>115</v>
      </c>
      <c r="D4" s="4" t="s">
        <v>99</v>
      </c>
      <c r="E4" s="4" t="b">
        <v>1</v>
      </c>
      <c r="F4" s="4" t="s">
        <v>116</v>
      </c>
      <c r="G4" s="4" t="s">
        <v>117</v>
      </c>
      <c r="H4" s="48"/>
      <c r="I4" s="51"/>
      <c r="J4" s="51"/>
    </row>
    <row r="5" spans="1:10">
      <c r="A5" s="26">
        <v>4</v>
      </c>
      <c r="B5" s="4" t="s">
        <v>118</v>
      </c>
      <c r="C5" s="4" t="s">
        <v>118</v>
      </c>
      <c r="D5" s="4" t="s">
        <v>99</v>
      </c>
      <c r="E5" s="4" t="b">
        <v>1</v>
      </c>
      <c r="F5" s="4" t="s">
        <v>119</v>
      </c>
      <c r="G5" s="4" t="s">
        <v>120</v>
      </c>
      <c r="H5" s="48"/>
      <c r="I5" s="51"/>
      <c r="J5" s="5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N171"/>
  <sheetViews>
    <sheetView workbookViewId="0"/>
  </sheetViews>
  <sheetFormatPr defaultColWidth="8.88671875" defaultRowHeight="14.4"/>
  <cols>
    <col min="1" max="1" width="8.88671875" style="38"/>
    <col min="2" max="2" width="9.44140625" style="39" customWidth="1"/>
    <col min="3" max="3" width="38.88671875" style="38" customWidth="1"/>
    <col min="4" max="4" width="13" style="38" customWidth="1"/>
    <col min="5" max="5" width="40" style="38" customWidth="1"/>
    <col min="6" max="6" width="14.44140625" style="38" customWidth="1"/>
    <col min="7" max="7" width="8.88671875" style="38"/>
    <col min="8" max="8" width="13" style="39" customWidth="1"/>
    <col min="9" max="9" width="19.33203125" style="70" customWidth="1"/>
    <col min="10" max="10" width="21.33203125" style="70" customWidth="1"/>
    <col min="11" max="11" width="8.44140625" style="38" customWidth="1"/>
    <col min="12" max="12" width="10.6640625" style="38" customWidth="1"/>
    <col min="13" max="13" width="8.88671875" style="38"/>
    <col min="14" max="14" width="10.88671875" style="39" customWidth="1"/>
    <col min="15" max="16384" width="8.88671875" style="38"/>
  </cols>
  <sheetData>
    <row r="2" spans="2:14">
      <c r="B2" s="6" t="s">
        <v>0</v>
      </c>
      <c r="C2" s="7" t="s">
        <v>5</v>
      </c>
      <c r="D2" s="7" t="s">
        <v>1</v>
      </c>
    </row>
    <row r="3" spans="2:14" ht="57.6">
      <c r="B3" s="8">
        <v>1</v>
      </c>
      <c r="C3" s="9" t="s">
        <v>124</v>
      </c>
      <c r="D3" s="10"/>
    </row>
    <row r="4" spans="2:14">
      <c r="B4" s="8">
        <f>B3+1</f>
        <v>2</v>
      </c>
      <c r="C4" s="10" t="s">
        <v>125</v>
      </c>
      <c r="D4" s="10"/>
    </row>
    <row r="5" spans="2:14">
      <c r="B5" s="8">
        <f t="shared" ref="B5:B7" si="0">B4+1</f>
        <v>3</v>
      </c>
      <c r="C5" s="10" t="s">
        <v>126</v>
      </c>
      <c r="D5" s="10"/>
    </row>
    <row r="6" spans="2:14">
      <c r="B6" s="8">
        <f t="shared" si="0"/>
        <v>4</v>
      </c>
      <c r="C6" s="10" t="s">
        <v>127</v>
      </c>
      <c r="D6" s="10"/>
    </row>
    <row r="7" spans="2:14">
      <c r="B7" s="8">
        <f t="shared" si="0"/>
        <v>5</v>
      </c>
      <c r="C7" s="10" t="s">
        <v>128</v>
      </c>
      <c r="D7" s="10"/>
    </row>
    <row r="8" spans="2:14">
      <c r="B8" s="8">
        <f t="shared" ref="B8" si="1">B7+1</f>
        <v>6</v>
      </c>
      <c r="C8" s="10" t="s">
        <v>129</v>
      </c>
      <c r="D8" s="10"/>
    </row>
    <row r="10" spans="2:14">
      <c r="B10" s="40" t="s">
        <v>130</v>
      </c>
      <c r="C10" s="41" t="s">
        <v>131</v>
      </c>
      <c r="D10" s="42" t="s">
        <v>132</v>
      </c>
      <c r="E10" s="41" t="s">
        <v>133</v>
      </c>
      <c r="F10" s="41" t="s">
        <v>134</v>
      </c>
      <c r="G10" s="41" t="s">
        <v>135</v>
      </c>
      <c r="H10" s="40" t="s">
        <v>136</v>
      </c>
      <c r="I10" s="71" t="s">
        <v>47</v>
      </c>
      <c r="J10" s="71" t="s">
        <v>48</v>
      </c>
      <c r="K10" s="44" t="s">
        <v>137</v>
      </c>
      <c r="L10" s="44" t="s">
        <v>138</v>
      </c>
      <c r="M10" s="44" t="s">
        <v>139</v>
      </c>
      <c r="N10" s="69" t="s">
        <v>140</v>
      </c>
    </row>
    <row r="11" spans="2:14">
      <c r="B11" s="39">
        <v>24</v>
      </c>
      <c r="C11" s="38" t="s">
        <v>141</v>
      </c>
      <c r="D11" s="38" t="s">
        <v>142</v>
      </c>
      <c r="E11" s="38" t="s">
        <v>143</v>
      </c>
      <c r="F11" s="38">
        <v>123456789</v>
      </c>
      <c r="G11" s="38" t="b">
        <v>1</v>
      </c>
      <c r="H11" s="39" t="s">
        <v>144</v>
      </c>
      <c r="I11" s="72">
        <v>43627.191666666702</v>
      </c>
      <c r="J11" s="72">
        <v>43868.411111111098</v>
      </c>
      <c r="K11" s="45"/>
      <c r="L11" s="45"/>
      <c r="N11" s="26">
        <v>1</v>
      </c>
    </row>
    <row r="12" spans="2:14">
      <c r="B12" s="39">
        <v>36</v>
      </c>
      <c r="C12" s="38" t="s">
        <v>141</v>
      </c>
      <c r="D12" s="38" t="s">
        <v>145</v>
      </c>
      <c r="E12" s="38" t="s">
        <v>146</v>
      </c>
      <c r="F12" s="38" t="s">
        <v>144</v>
      </c>
      <c r="G12" s="38" t="b">
        <v>1</v>
      </c>
      <c r="H12" s="39">
        <v>38</v>
      </c>
      <c r="I12" s="72">
        <v>43627.637499999997</v>
      </c>
      <c r="J12" s="72">
        <v>43627.637499999997</v>
      </c>
      <c r="K12" s="45"/>
      <c r="L12" s="45"/>
      <c r="N12" s="26">
        <v>1</v>
      </c>
    </row>
    <row r="13" spans="2:14">
      <c r="B13" s="39">
        <v>38</v>
      </c>
      <c r="C13" s="38" t="s">
        <v>147</v>
      </c>
      <c r="E13" s="38" t="s">
        <v>148</v>
      </c>
      <c r="F13" s="38" t="s">
        <v>144</v>
      </c>
      <c r="G13" s="38" t="b">
        <v>1</v>
      </c>
      <c r="H13" s="39">
        <v>40</v>
      </c>
      <c r="I13" s="72">
        <v>43657.320138888899</v>
      </c>
      <c r="J13" s="72">
        <v>43657.320138888899</v>
      </c>
      <c r="K13" s="45"/>
      <c r="L13" s="45"/>
      <c r="N13" s="39">
        <v>2</v>
      </c>
    </row>
    <row r="14" spans="2:14">
      <c r="B14" s="39">
        <v>40</v>
      </c>
      <c r="C14" s="38" t="s">
        <v>149</v>
      </c>
      <c r="E14" s="38" t="s">
        <v>150</v>
      </c>
      <c r="F14" s="38" t="s">
        <v>144</v>
      </c>
      <c r="G14" s="38" t="b">
        <v>1</v>
      </c>
      <c r="H14" s="39">
        <v>42</v>
      </c>
      <c r="I14" s="72">
        <v>43657.374305555597</v>
      </c>
      <c r="J14" s="72">
        <v>43657.374305555597</v>
      </c>
      <c r="K14" s="45"/>
      <c r="L14" s="45"/>
      <c r="N14" s="39">
        <v>3</v>
      </c>
    </row>
    <row r="15" spans="2:14">
      <c r="B15" s="39">
        <v>42</v>
      </c>
      <c r="C15" s="38" t="s">
        <v>151</v>
      </c>
      <c r="E15" s="38" t="s">
        <v>152</v>
      </c>
      <c r="F15" s="38" t="s">
        <v>144</v>
      </c>
      <c r="G15" s="38" t="b">
        <v>1</v>
      </c>
      <c r="H15" s="39">
        <v>44</v>
      </c>
      <c r="I15" s="72">
        <v>43657.536805555603</v>
      </c>
      <c r="J15" s="72">
        <v>43657.536805555603</v>
      </c>
      <c r="K15" s="45"/>
      <c r="L15" s="45"/>
      <c r="N15" s="39">
        <v>4</v>
      </c>
    </row>
    <row r="16" spans="2:14">
      <c r="B16" s="39">
        <v>43</v>
      </c>
      <c r="C16" s="38" t="s">
        <v>153</v>
      </c>
      <c r="E16" s="38" t="s">
        <v>154</v>
      </c>
      <c r="F16" s="38" t="s">
        <v>144</v>
      </c>
      <c r="G16" s="38" t="b">
        <v>1</v>
      </c>
      <c r="H16" s="39">
        <v>45</v>
      </c>
      <c r="I16" s="72">
        <v>43657.5402777778</v>
      </c>
      <c r="J16" s="72">
        <v>43657.5402777778</v>
      </c>
      <c r="K16" s="45"/>
      <c r="L16" s="45"/>
      <c r="N16" s="39">
        <v>2</v>
      </c>
    </row>
    <row r="17" spans="2:14">
      <c r="B17" s="39">
        <v>44</v>
      </c>
      <c r="C17" s="38" t="s">
        <v>155</v>
      </c>
      <c r="E17" s="38" t="s">
        <v>156</v>
      </c>
      <c r="F17" s="38" t="s">
        <v>144</v>
      </c>
      <c r="G17" s="38" t="b">
        <v>1</v>
      </c>
      <c r="H17" s="39">
        <v>46</v>
      </c>
      <c r="I17" s="72">
        <v>43688.316666666702</v>
      </c>
      <c r="J17" s="72">
        <v>43688.316666666702</v>
      </c>
      <c r="K17" s="45"/>
      <c r="L17" s="45"/>
      <c r="N17" s="39">
        <v>2</v>
      </c>
    </row>
    <row r="18" spans="2:14">
      <c r="B18" s="39">
        <v>47</v>
      </c>
      <c r="C18" s="38" t="s">
        <v>157</v>
      </c>
      <c r="E18" s="38" t="s">
        <v>158</v>
      </c>
      <c r="F18" s="38" t="s">
        <v>144</v>
      </c>
      <c r="G18" s="38" t="b">
        <v>1</v>
      </c>
      <c r="H18" s="39" t="s">
        <v>144</v>
      </c>
      <c r="I18" s="70" t="s">
        <v>159</v>
      </c>
      <c r="J18" s="70" t="s">
        <v>160</v>
      </c>
      <c r="N18" s="39">
        <v>2</v>
      </c>
    </row>
    <row r="19" spans="2:14">
      <c r="B19" s="39">
        <v>48</v>
      </c>
      <c r="C19" s="38" t="s">
        <v>161</v>
      </c>
      <c r="E19" s="38" t="s">
        <v>162</v>
      </c>
      <c r="F19" s="38" t="s">
        <v>144</v>
      </c>
      <c r="G19" s="38" t="b">
        <v>1</v>
      </c>
      <c r="H19" s="39" t="s">
        <v>144</v>
      </c>
      <c r="I19" s="70" t="s">
        <v>163</v>
      </c>
      <c r="J19" s="72">
        <v>43898.386111111096</v>
      </c>
      <c r="K19" s="45"/>
      <c r="L19" s="45"/>
      <c r="N19" s="39">
        <v>4</v>
      </c>
    </row>
    <row r="20" spans="2:14">
      <c r="B20" s="39">
        <v>50</v>
      </c>
      <c r="C20" s="38" t="s">
        <v>164</v>
      </c>
      <c r="E20" s="38" t="s">
        <v>165</v>
      </c>
      <c r="F20" s="38" t="s">
        <v>144</v>
      </c>
      <c r="G20" s="38" t="b">
        <v>1</v>
      </c>
      <c r="H20" s="39">
        <v>47</v>
      </c>
      <c r="I20" s="72">
        <v>43567.464583333298</v>
      </c>
      <c r="J20" s="70" t="s">
        <v>166</v>
      </c>
      <c r="N20" s="39">
        <v>3</v>
      </c>
    </row>
    <row r="21" spans="2:14">
      <c r="B21" s="39">
        <v>51</v>
      </c>
      <c r="C21" s="38" t="s">
        <v>167</v>
      </c>
      <c r="E21" s="38" t="s">
        <v>168</v>
      </c>
      <c r="F21" s="38" t="s">
        <v>144</v>
      </c>
      <c r="G21" s="38" t="b">
        <v>1</v>
      </c>
      <c r="H21" s="39">
        <v>48</v>
      </c>
      <c r="I21" s="72">
        <v>43567.479166666701</v>
      </c>
      <c r="J21" s="72">
        <v>43567.479166666701</v>
      </c>
      <c r="K21" s="45"/>
      <c r="L21" s="45"/>
    </row>
    <row r="22" spans="2:14">
      <c r="B22" s="39">
        <v>52</v>
      </c>
      <c r="C22" s="38" t="s">
        <v>169</v>
      </c>
      <c r="E22" s="38" t="s">
        <v>170</v>
      </c>
      <c r="F22" s="38">
        <v>2070366980</v>
      </c>
      <c r="G22" s="38" t="b">
        <v>1</v>
      </c>
      <c r="H22" s="39">
        <v>48</v>
      </c>
      <c r="I22" s="72">
        <v>43567.488888888904</v>
      </c>
      <c r="J22" s="72">
        <v>43567.488888888904</v>
      </c>
      <c r="K22" s="45"/>
      <c r="L22" s="45"/>
    </row>
    <row r="23" spans="2:14">
      <c r="B23" s="39">
        <v>53</v>
      </c>
      <c r="C23" s="38" t="s">
        <v>171</v>
      </c>
      <c r="E23" s="38" t="s">
        <v>172</v>
      </c>
      <c r="F23" s="38" t="s">
        <v>144</v>
      </c>
      <c r="G23" s="38" t="b">
        <v>1</v>
      </c>
      <c r="H23" s="39">
        <v>49</v>
      </c>
      <c r="I23" s="70" t="s">
        <v>173</v>
      </c>
      <c r="J23" s="70" t="s">
        <v>173</v>
      </c>
    </row>
    <row r="24" spans="2:14">
      <c r="B24" s="39">
        <v>54</v>
      </c>
      <c r="C24" s="38" t="s">
        <v>174</v>
      </c>
      <c r="E24" s="38" t="s">
        <v>175</v>
      </c>
      <c r="F24" s="38">
        <v>2085533016</v>
      </c>
      <c r="G24" s="38" t="b">
        <v>1</v>
      </c>
      <c r="H24" s="39">
        <v>50</v>
      </c>
      <c r="I24" s="70" t="s">
        <v>176</v>
      </c>
      <c r="J24" s="72">
        <v>44044.059722222199</v>
      </c>
      <c r="K24" s="45"/>
      <c r="L24" s="45"/>
    </row>
    <row r="25" spans="2:14">
      <c r="B25" s="39">
        <v>55</v>
      </c>
      <c r="C25" s="38" t="s">
        <v>177</v>
      </c>
      <c r="E25" s="38" t="s">
        <v>178</v>
      </c>
      <c r="F25" s="38" t="s">
        <v>144</v>
      </c>
      <c r="G25" s="38" t="b">
        <v>1</v>
      </c>
      <c r="H25" s="39">
        <v>51</v>
      </c>
      <c r="I25" s="70" t="s">
        <v>179</v>
      </c>
      <c r="J25" s="70" t="s">
        <v>180</v>
      </c>
    </row>
    <row r="26" spans="2:14">
      <c r="B26" s="39">
        <v>56</v>
      </c>
      <c r="C26" s="38" t="s">
        <v>181</v>
      </c>
      <c r="E26" s="38" t="s">
        <v>182</v>
      </c>
      <c r="F26" s="38" t="s">
        <v>144</v>
      </c>
      <c r="G26" s="38" t="b">
        <v>1</v>
      </c>
      <c r="H26" s="39" t="s">
        <v>144</v>
      </c>
      <c r="I26" s="70" t="s">
        <v>183</v>
      </c>
      <c r="J26" s="70" t="s">
        <v>184</v>
      </c>
    </row>
    <row r="27" spans="2:14">
      <c r="B27" s="39">
        <v>57</v>
      </c>
      <c r="C27" s="38" t="s">
        <v>185</v>
      </c>
      <c r="E27" s="38" t="s">
        <v>186</v>
      </c>
      <c r="F27" s="38" t="s">
        <v>144</v>
      </c>
      <c r="G27" s="38" t="b">
        <v>1</v>
      </c>
      <c r="H27" s="39" t="s">
        <v>144</v>
      </c>
      <c r="I27" s="70" t="s">
        <v>187</v>
      </c>
      <c r="J27" s="70" t="s">
        <v>188</v>
      </c>
    </row>
    <row r="28" spans="2:14">
      <c r="B28" s="39">
        <v>58</v>
      </c>
      <c r="C28" s="38" t="s">
        <v>189</v>
      </c>
      <c r="E28" s="38" t="s">
        <v>190</v>
      </c>
      <c r="F28" s="38" t="s">
        <v>144</v>
      </c>
      <c r="G28" s="38" t="b">
        <v>1</v>
      </c>
      <c r="H28" s="39">
        <v>52</v>
      </c>
      <c r="I28" s="70" t="s">
        <v>191</v>
      </c>
      <c r="J28" s="70" t="s">
        <v>191</v>
      </c>
    </row>
    <row r="29" spans="2:14">
      <c r="B29" s="39">
        <v>59</v>
      </c>
      <c r="C29" s="38" t="s">
        <v>192</v>
      </c>
      <c r="E29" s="38" t="s">
        <v>193</v>
      </c>
      <c r="F29" s="38" t="s">
        <v>144</v>
      </c>
      <c r="G29" s="38" t="b">
        <v>1</v>
      </c>
      <c r="H29" s="39">
        <v>53</v>
      </c>
      <c r="I29" s="70" t="s">
        <v>194</v>
      </c>
      <c r="J29" s="70" t="s">
        <v>194</v>
      </c>
    </row>
    <row r="30" spans="2:14">
      <c r="B30" s="39">
        <v>60</v>
      </c>
      <c r="C30" s="38" t="s">
        <v>195</v>
      </c>
      <c r="E30" s="38" t="s">
        <v>196</v>
      </c>
      <c r="F30" s="38" t="s">
        <v>144</v>
      </c>
      <c r="G30" s="38" t="b">
        <v>1</v>
      </c>
      <c r="H30" s="39">
        <v>54</v>
      </c>
      <c r="I30" s="70" t="s">
        <v>197</v>
      </c>
      <c r="J30" s="70" t="s">
        <v>197</v>
      </c>
    </row>
    <row r="31" spans="2:14">
      <c r="B31" s="39">
        <v>61</v>
      </c>
      <c r="C31" s="38" t="s">
        <v>198</v>
      </c>
      <c r="E31" s="38" t="s">
        <v>199</v>
      </c>
      <c r="F31" s="38" t="s">
        <v>144</v>
      </c>
      <c r="G31" s="38" t="b">
        <v>1</v>
      </c>
      <c r="H31" s="39">
        <v>55</v>
      </c>
      <c r="I31" s="70" t="s">
        <v>200</v>
      </c>
      <c r="J31" s="70" t="s">
        <v>200</v>
      </c>
    </row>
    <row r="32" spans="2:14">
      <c r="B32" s="39">
        <v>62</v>
      </c>
      <c r="C32" s="38" t="s">
        <v>201</v>
      </c>
      <c r="E32" s="38" t="s">
        <v>202</v>
      </c>
      <c r="F32" s="38" t="s">
        <v>144</v>
      </c>
      <c r="G32" s="38" t="b">
        <v>1</v>
      </c>
      <c r="H32" s="39">
        <v>56</v>
      </c>
      <c r="I32" s="70" t="s">
        <v>203</v>
      </c>
      <c r="J32" s="70" t="s">
        <v>203</v>
      </c>
    </row>
    <row r="33" spans="2:12">
      <c r="B33" s="39">
        <v>63</v>
      </c>
      <c r="C33" s="38" t="s">
        <v>204</v>
      </c>
      <c r="E33" s="38" t="s">
        <v>205</v>
      </c>
      <c r="F33" s="38" t="s">
        <v>144</v>
      </c>
      <c r="G33" s="38" t="b">
        <v>1</v>
      </c>
      <c r="H33" s="39">
        <v>57</v>
      </c>
      <c r="I33" s="70" t="s">
        <v>206</v>
      </c>
      <c r="J33" s="70" t="s">
        <v>206</v>
      </c>
    </row>
    <row r="34" spans="2:12">
      <c r="B34" s="39">
        <v>64</v>
      </c>
      <c r="C34" s="38" t="s">
        <v>207</v>
      </c>
      <c r="E34" s="38" t="s">
        <v>208</v>
      </c>
      <c r="F34" s="38" t="s">
        <v>144</v>
      </c>
      <c r="G34" s="38" t="b">
        <v>1</v>
      </c>
      <c r="H34" s="39">
        <v>58</v>
      </c>
      <c r="I34" s="70" t="s">
        <v>209</v>
      </c>
      <c r="J34" s="70" t="s">
        <v>209</v>
      </c>
    </row>
    <row r="35" spans="2:12">
      <c r="B35" s="39">
        <v>67</v>
      </c>
      <c r="C35" s="38" t="s">
        <v>210</v>
      </c>
      <c r="E35" s="38" t="s">
        <v>211</v>
      </c>
      <c r="F35" s="38" t="s">
        <v>144</v>
      </c>
      <c r="G35" s="38" t="b">
        <v>1</v>
      </c>
      <c r="H35" s="39">
        <v>59</v>
      </c>
      <c r="I35" s="70" t="s">
        <v>212</v>
      </c>
      <c r="J35" s="70" t="s">
        <v>212</v>
      </c>
    </row>
    <row r="36" spans="2:12">
      <c r="B36" s="39">
        <v>68</v>
      </c>
      <c r="C36" s="38" t="s">
        <v>213</v>
      </c>
      <c r="E36" s="38" t="s">
        <v>214</v>
      </c>
      <c r="F36" s="38" t="s">
        <v>144</v>
      </c>
      <c r="G36" s="38" t="b">
        <v>1</v>
      </c>
      <c r="H36" s="39">
        <v>60</v>
      </c>
      <c r="I36" s="70" t="s">
        <v>215</v>
      </c>
      <c r="J36" s="70" t="s">
        <v>215</v>
      </c>
    </row>
    <row r="37" spans="2:12">
      <c r="B37" s="39">
        <v>69</v>
      </c>
      <c r="C37" s="38" t="s">
        <v>216</v>
      </c>
      <c r="E37" s="38" t="s">
        <v>217</v>
      </c>
      <c r="F37" s="38" t="s">
        <v>144</v>
      </c>
      <c r="G37" s="38" t="b">
        <v>1</v>
      </c>
      <c r="H37" s="39">
        <v>61</v>
      </c>
      <c r="I37" s="70" t="s">
        <v>218</v>
      </c>
      <c r="J37" s="70" t="s">
        <v>218</v>
      </c>
    </row>
    <row r="38" spans="2:12">
      <c r="B38" s="39">
        <v>72</v>
      </c>
      <c r="C38" s="38" t="s">
        <v>219</v>
      </c>
      <c r="E38" s="38" t="s">
        <v>220</v>
      </c>
      <c r="F38" s="43">
        <v>448000000000</v>
      </c>
      <c r="G38" s="38" t="b">
        <v>1</v>
      </c>
      <c r="H38" s="39">
        <v>60</v>
      </c>
      <c r="I38" s="72">
        <v>43862.286111111098</v>
      </c>
      <c r="J38" s="72">
        <v>44044.239583333299</v>
      </c>
      <c r="K38" s="45"/>
      <c r="L38" s="45"/>
    </row>
    <row r="39" spans="2:12">
      <c r="B39" s="39">
        <v>73</v>
      </c>
      <c r="C39" s="38" t="s">
        <v>221</v>
      </c>
      <c r="E39" s="38" t="s">
        <v>222</v>
      </c>
      <c r="F39" s="38" t="s">
        <v>144</v>
      </c>
      <c r="G39" s="38" t="b">
        <v>1</v>
      </c>
      <c r="H39" s="39">
        <v>62</v>
      </c>
      <c r="I39" s="72">
        <v>43862.2902777778</v>
      </c>
      <c r="J39" s="72">
        <v>43862.2902777778</v>
      </c>
      <c r="K39" s="45"/>
      <c r="L39" s="45"/>
    </row>
    <row r="40" spans="2:12">
      <c r="B40" s="39">
        <v>74</v>
      </c>
      <c r="C40" s="38" t="s">
        <v>223</v>
      </c>
      <c r="E40" s="38" t="s">
        <v>224</v>
      </c>
      <c r="F40" s="38">
        <v>2038839093</v>
      </c>
      <c r="G40" s="38" t="b">
        <v>1</v>
      </c>
      <c r="H40" s="39">
        <v>62</v>
      </c>
      <c r="I40" s="72">
        <v>43862.295833333301</v>
      </c>
      <c r="J40" s="72">
        <v>43862.295833333301</v>
      </c>
      <c r="K40" s="45"/>
      <c r="L40" s="45"/>
    </row>
    <row r="41" spans="2:12">
      <c r="B41" s="39">
        <v>75</v>
      </c>
      <c r="C41" s="38" t="s">
        <v>225</v>
      </c>
      <c r="E41" s="38" t="s">
        <v>226</v>
      </c>
      <c r="F41" s="38" t="s">
        <v>227</v>
      </c>
      <c r="G41" s="38" t="b">
        <v>1</v>
      </c>
      <c r="H41" s="39">
        <v>49</v>
      </c>
      <c r="I41" s="72">
        <v>44013.162499999999</v>
      </c>
      <c r="J41" s="70" t="s">
        <v>228</v>
      </c>
    </row>
    <row r="42" spans="2:12">
      <c r="B42" s="39">
        <v>76</v>
      </c>
      <c r="C42" s="38" t="s">
        <v>229</v>
      </c>
      <c r="E42" s="38" t="s">
        <v>230</v>
      </c>
      <c r="F42" s="38" t="s">
        <v>144</v>
      </c>
      <c r="G42" s="38" t="b">
        <v>1</v>
      </c>
      <c r="H42" s="39">
        <v>63</v>
      </c>
      <c r="I42" s="70" t="s">
        <v>231</v>
      </c>
      <c r="J42" s="70" t="s">
        <v>231</v>
      </c>
    </row>
    <row r="43" spans="2:12">
      <c r="B43" s="39">
        <v>77</v>
      </c>
      <c r="C43" s="38" t="s">
        <v>232</v>
      </c>
      <c r="E43" s="38" t="s">
        <v>233</v>
      </c>
      <c r="F43" s="38" t="s">
        <v>144</v>
      </c>
      <c r="G43" s="38" t="b">
        <v>1</v>
      </c>
      <c r="H43" s="39">
        <v>64</v>
      </c>
      <c r="I43" s="70" t="s">
        <v>234</v>
      </c>
      <c r="J43" s="70" t="s">
        <v>234</v>
      </c>
    </row>
    <row r="44" spans="2:12">
      <c r="B44" s="39">
        <v>78</v>
      </c>
      <c r="C44" s="38" t="s">
        <v>235</v>
      </c>
      <c r="E44" s="38" t="s">
        <v>236</v>
      </c>
      <c r="F44" s="38" t="s">
        <v>237</v>
      </c>
      <c r="G44" s="38" t="b">
        <v>1</v>
      </c>
      <c r="H44" s="39">
        <v>65</v>
      </c>
      <c r="I44" s="70" t="s">
        <v>238</v>
      </c>
      <c r="J44" s="72">
        <v>44137.370833333298</v>
      </c>
      <c r="K44" s="45"/>
      <c r="L44" s="45"/>
    </row>
    <row r="45" spans="2:12">
      <c r="B45" s="39">
        <v>79</v>
      </c>
      <c r="C45" s="38" t="s">
        <v>239</v>
      </c>
      <c r="E45" s="38" t="s">
        <v>239</v>
      </c>
      <c r="F45" s="38" t="s">
        <v>144</v>
      </c>
      <c r="G45" s="38" t="b">
        <v>1</v>
      </c>
      <c r="H45" s="39">
        <v>66</v>
      </c>
      <c r="I45" s="70" t="s">
        <v>240</v>
      </c>
      <c r="J45" s="70" t="s">
        <v>241</v>
      </c>
    </row>
    <row r="46" spans="2:12">
      <c r="B46" s="39">
        <v>80</v>
      </c>
      <c r="C46" s="38" t="s">
        <v>242</v>
      </c>
      <c r="E46" s="38" t="s">
        <v>243</v>
      </c>
      <c r="F46" s="38" t="s">
        <v>144</v>
      </c>
      <c r="G46" s="38" t="b">
        <v>1</v>
      </c>
      <c r="H46" s="39">
        <v>67</v>
      </c>
      <c r="I46" s="70" t="s">
        <v>244</v>
      </c>
      <c r="J46" s="70" t="s">
        <v>245</v>
      </c>
    </row>
    <row r="47" spans="2:12">
      <c r="B47" s="39">
        <v>81</v>
      </c>
      <c r="C47" s="38" t="s">
        <v>246</v>
      </c>
      <c r="E47" s="38" t="s">
        <v>247</v>
      </c>
      <c r="F47" s="38" t="s">
        <v>144</v>
      </c>
      <c r="G47" s="38" t="b">
        <v>1</v>
      </c>
      <c r="H47" s="39">
        <v>68</v>
      </c>
      <c r="I47" s="70" t="s">
        <v>248</v>
      </c>
      <c r="J47" s="70" t="s">
        <v>248</v>
      </c>
    </row>
    <row r="48" spans="2:12">
      <c r="B48" s="39">
        <v>82</v>
      </c>
      <c r="C48" s="38" t="s">
        <v>249</v>
      </c>
      <c r="E48" s="38" t="s">
        <v>250</v>
      </c>
      <c r="F48" s="38" t="s">
        <v>144</v>
      </c>
      <c r="G48" s="38" t="b">
        <v>1</v>
      </c>
      <c r="H48" s="39">
        <v>69</v>
      </c>
      <c r="I48" s="70" t="s">
        <v>251</v>
      </c>
      <c r="J48" s="70" t="s">
        <v>251</v>
      </c>
    </row>
    <row r="49" spans="2:12">
      <c r="B49" s="39">
        <v>83</v>
      </c>
      <c r="C49" s="38" t="s">
        <v>252</v>
      </c>
      <c r="E49" s="38" t="s">
        <v>253</v>
      </c>
      <c r="F49" s="38" t="s">
        <v>144</v>
      </c>
      <c r="G49" s="38" t="b">
        <v>1</v>
      </c>
      <c r="H49" s="39">
        <v>70</v>
      </c>
      <c r="I49" s="70" t="s">
        <v>254</v>
      </c>
      <c r="J49" s="70" t="s">
        <v>254</v>
      </c>
    </row>
    <row r="50" spans="2:12">
      <c r="B50" s="39">
        <v>84</v>
      </c>
      <c r="C50" s="38" t="s">
        <v>255</v>
      </c>
      <c r="E50" s="38" t="s">
        <v>256</v>
      </c>
      <c r="F50" s="38" t="s">
        <v>144</v>
      </c>
      <c r="G50" s="38" t="b">
        <v>1</v>
      </c>
      <c r="H50" s="39">
        <v>78</v>
      </c>
      <c r="I50" s="70" t="s">
        <v>257</v>
      </c>
      <c r="J50" s="70" t="s">
        <v>257</v>
      </c>
    </row>
    <row r="51" spans="2:12">
      <c r="B51" s="39">
        <v>85</v>
      </c>
      <c r="C51" s="38" t="s">
        <v>258</v>
      </c>
      <c r="E51" s="38" t="s">
        <v>259</v>
      </c>
      <c r="F51" s="38" t="s">
        <v>144</v>
      </c>
      <c r="G51" s="38" t="b">
        <v>1</v>
      </c>
      <c r="H51" s="39">
        <v>79</v>
      </c>
      <c r="I51" s="70" t="s">
        <v>260</v>
      </c>
      <c r="J51" s="70" t="s">
        <v>260</v>
      </c>
    </row>
    <row r="52" spans="2:12">
      <c r="B52" s="39">
        <v>86</v>
      </c>
      <c r="C52" s="38" t="s">
        <v>261</v>
      </c>
      <c r="E52" s="38" t="s">
        <v>262</v>
      </c>
      <c r="F52" s="38">
        <v>7887775454</v>
      </c>
      <c r="G52" s="38" t="b">
        <v>1</v>
      </c>
      <c r="H52" s="39">
        <v>49</v>
      </c>
      <c r="I52" s="70" t="s">
        <v>263</v>
      </c>
      <c r="J52" s="70" t="s">
        <v>264</v>
      </c>
    </row>
    <row r="53" spans="2:12">
      <c r="B53" s="39">
        <v>87</v>
      </c>
      <c r="C53" s="38" t="s">
        <v>265</v>
      </c>
      <c r="E53" s="38" t="s">
        <v>266</v>
      </c>
      <c r="F53" s="38">
        <v>7887500055</v>
      </c>
      <c r="G53" s="38" t="b">
        <v>1</v>
      </c>
      <c r="H53" s="39">
        <v>49</v>
      </c>
      <c r="I53" s="70" t="s">
        <v>267</v>
      </c>
      <c r="J53" s="70" t="s">
        <v>267</v>
      </c>
    </row>
    <row r="54" spans="2:12">
      <c r="B54" s="39">
        <v>88</v>
      </c>
      <c r="C54" s="38" t="s">
        <v>268</v>
      </c>
      <c r="E54" s="38" t="s">
        <v>269</v>
      </c>
      <c r="F54" s="38" t="s">
        <v>144</v>
      </c>
      <c r="G54" s="38" t="b">
        <v>1</v>
      </c>
      <c r="H54" s="39">
        <v>80</v>
      </c>
      <c r="I54" s="72">
        <v>43923.988888888904</v>
      </c>
      <c r="J54" s="72">
        <v>43923.988888888904</v>
      </c>
      <c r="K54" s="45"/>
      <c r="L54" s="45"/>
    </row>
    <row r="55" spans="2:12">
      <c r="B55" s="39">
        <v>90</v>
      </c>
      <c r="C55" s="38" t="s">
        <v>270</v>
      </c>
      <c r="E55" s="38" t="s">
        <v>271</v>
      </c>
      <c r="F55" s="43">
        <v>972000000000</v>
      </c>
      <c r="G55" s="38" t="b">
        <v>1</v>
      </c>
      <c r="H55" s="39">
        <v>51</v>
      </c>
      <c r="I55" s="72">
        <v>44014.065277777801</v>
      </c>
      <c r="J55" s="72">
        <v>44014.065277777801</v>
      </c>
      <c r="K55" s="45"/>
      <c r="L55" s="45"/>
    </row>
    <row r="56" spans="2:12">
      <c r="B56" s="39">
        <v>91</v>
      </c>
      <c r="C56" s="38" t="s">
        <v>272</v>
      </c>
      <c r="E56" s="38" t="s">
        <v>273</v>
      </c>
      <c r="F56" s="38" t="s">
        <v>274</v>
      </c>
      <c r="G56" s="38" t="b">
        <v>1</v>
      </c>
      <c r="H56" s="39">
        <v>51</v>
      </c>
      <c r="I56" s="72">
        <v>44014.074999999997</v>
      </c>
      <c r="J56" s="72">
        <v>44143.695138888899</v>
      </c>
      <c r="K56" s="45"/>
      <c r="L56" s="45"/>
    </row>
    <row r="57" spans="2:12">
      <c r="B57" s="39">
        <v>92</v>
      </c>
      <c r="C57" s="38" t="s">
        <v>275</v>
      </c>
      <c r="E57" s="38" t="s">
        <v>276</v>
      </c>
      <c r="F57" s="38">
        <v>2070366980</v>
      </c>
      <c r="G57" s="38" t="b">
        <v>1</v>
      </c>
      <c r="H57" s="39">
        <v>60</v>
      </c>
      <c r="I57" s="72">
        <v>44167.212500000001</v>
      </c>
      <c r="J57" s="72">
        <v>44167.212500000001</v>
      </c>
      <c r="K57" s="45"/>
      <c r="L57" s="45"/>
    </row>
    <row r="58" spans="2:12">
      <c r="B58" s="39">
        <v>93</v>
      </c>
      <c r="C58" s="38" t="s">
        <v>277</v>
      </c>
      <c r="E58" s="38" t="s">
        <v>278</v>
      </c>
      <c r="F58" s="38" t="s">
        <v>144</v>
      </c>
      <c r="G58" s="38" t="b">
        <v>1</v>
      </c>
      <c r="H58" s="39" t="s">
        <v>144</v>
      </c>
      <c r="I58" s="72">
        <v>44167.261805555601</v>
      </c>
      <c r="J58" s="72">
        <v>44167.261805555601</v>
      </c>
      <c r="K58" s="45"/>
      <c r="L58" s="45"/>
    </row>
    <row r="59" spans="2:12">
      <c r="B59" s="39">
        <v>95</v>
      </c>
      <c r="C59" s="38" t="s">
        <v>279</v>
      </c>
      <c r="E59" s="38" t="s">
        <v>280</v>
      </c>
      <c r="F59" s="38">
        <v>2070366980</v>
      </c>
      <c r="G59" s="38" t="b">
        <v>1</v>
      </c>
      <c r="H59" s="39">
        <v>49</v>
      </c>
      <c r="I59" s="70" t="s">
        <v>281</v>
      </c>
      <c r="J59" s="70" t="s">
        <v>281</v>
      </c>
    </row>
    <row r="60" spans="2:12">
      <c r="B60" s="39">
        <v>96</v>
      </c>
      <c r="C60" s="38" t="s">
        <v>282</v>
      </c>
      <c r="E60" s="38" t="s">
        <v>283</v>
      </c>
      <c r="F60" s="38">
        <v>2070366980</v>
      </c>
      <c r="G60" s="38" t="b">
        <v>1</v>
      </c>
      <c r="H60" s="39">
        <v>49</v>
      </c>
      <c r="I60" s="70" t="s">
        <v>284</v>
      </c>
      <c r="J60" s="70" t="s">
        <v>285</v>
      </c>
    </row>
    <row r="61" spans="2:12">
      <c r="B61" s="39">
        <v>97</v>
      </c>
      <c r="C61" s="38" t="s">
        <v>286</v>
      </c>
      <c r="E61" s="38" t="s">
        <v>287</v>
      </c>
      <c r="F61" s="38" t="s">
        <v>144</v>
      </c>
      <c r="G61" s="38" t="b">
        <v>1</v>
      </c>
      <c r="H61" s="39">
        <v>81</v>
      </c>
      <c r="I61" s="70" t="s">
        <v>288</v>
      </c>
      <c r="J61" s="70" t="s">
        <v>288</v>
      </c>
    </row>
    <row r="62" spans="2:12">
      <c r="B62" s="39">
        <v>98</v>
      </c>
      <c r="C62" s="38" t="s">
        <v>289</v>
      </c>
      <c r="E62" s="38" t="s">
        <v>290</v>
      </c>
      <c r="F62" s="38" t="s">
        <v>144</v>
      </c>
      <c r="G62" s="38" t="b">
        <v>1</v>
      </c>
      <c r="H62" s="39">
        <v>82</v>
      </c>
      <c r="I62" s="70" t="s">
        <v>291</v>
      </c>
      <c r="J62" s="70" t="s">
        <v>291</v>
      </c>
    </row>
    <row r="63" spans="2:12">
      <c r="B63" s="39">
        <v>99</v>
      </c>
      <c r="C63" s="38" t="s">
        <v>292</v>
      </c>
      <c r="E63" s="38" t="s">
        <v>293</v>
      </c>
      <c r="F63" s="38">
        <v>1234567</v>
      </c>
      <c r="G63" s="38" t="b">
        <v>1</v>
      </c>
      <c r="H63" s="39">
        <v>82</v>
      </c>
      <c r="I63" s="70" t="s">
        <v>294</v>
      </c>
      <c r="J63" s="70" t="s">
        <v>294</v>
      </c>
    </row>
    <row r="64" spans="2:12">
      <c r="B64" s="39">
        <v>100</v>
      </c>
      <c r="C64" s="38" t="s">
        <v>295</v>
      </c>
      <c r="E64" s="38" t="s">
        <v>296</v>
      </c>
      <c r="F64" s="38" t="s">
        <v>297</v>
      </c>
      <c r="G64" s="38" t="b">
        <v>1</v>
      </c>
      <c r="H64" s="39">
        <v>49</v>
      </c>
      <c r="I64" s="72">
        <v>43864.140972222202</v>
      </c>
      <c r="J64" s="72">
        <v>43864.140972222202</v>
      </c>
      <c r="K64" s="45"/>
      <c r="L64" s="45"/>
    </row>
    <row r="65" spans="2:12">
      <c r="B65" s="39">
        <v>101</v>
      </c>
      <c r="C65" s="38" t="s">
        <v>298</v>
      </c>
      <c r="E65" s="38" t="s">
        <v>299</v>
      </c>
      <c r="F65" s="38">
        <v>2036748639</v>
      </c>
      <c r="G65" s="38" t="b">
        <v>1</v>
      </c>
      <c r="H65" s="39">
        <v>49</v>
      </c>
      <c r="I65" s="72">
        <v>43864.141666666699</v>
      </c>
      <c r="J65" s="70" t="s">
        <v>300</v>
      </c>
    </row>
    <row r="66" spans="2:12">
      <c r="B66" s="39">
        <v>102</v>
      </c>
      <c r="C66" s="38" t="s">
        <v>301</v>
      </c>
      <c r="E66" s="38" t="s">
        <v>302</v>
      </c>
      <c r="F66" s="38">
        <v>2036748639</v>
      </c>
      <c r="G66" s="38" t="b">
        <v>1</v>
      </c>
      <c r="H66" s="39">
        <v>49</v>
      </c>
      <c r="I66" s="72">
        <v>43864.142361111102</v>
      </c>
      <c r="J66" s="72">
        <v>44411.708333333299</v>
      </c>
      <c r="K66" s="45"/>
      <c r="L66" s="45"/>
    </row>
    <row r="67" spans="2:12">
      <c r="B67" s="39">
        <v>103</v>
      </c>
      <c r="C67" s="38" t="s">
        <v>303</v>
      </c>
      <c r="E67" s="38" t="s">
        <v>304</v>
      </c>
      <c r="F67" s="38">
        <v>2036748639</v>
      </c>
      <c r="G67" s="38" t="b">
        <v>1</v>
      </c>
      <c r="H67" s="39">
        <v>49</v>
      </c>
      <c r="I67" s="72">
        <v>43864.142361111102</v>
      </c>
      <c r="J67" s="70" t="s">
        <v>305</v>
      </c>
    </row>
    <row r="68" spans="2:12">
      <c r="B68" s="39">
        <v>104</v>
      </c>
      <c r="C68" s="38" t="s">
        <v>306</v>
      </c>
      <c r="E68" s="38" t="s">
        <v>307</v>
      </c>
      <c r="F68" s="38">
        <v>2036748639</v>
      </c>
      <c r="G68" s="38" t="b">
        <v>1</v>
      </c>
      <c r="H68" s="39">
        <v>49</v>
      </c>
      <c r="I68" s="72">
        <v>43864.1430555556</v>
      </c>
      <c r="J68" s="70" t="s">
        <v>308</v>
      </c>
    </row>
    <row r="69" spans="2:12">
      <c r="B69" s="39">
        <v>105</v>
      </c>
      <c r="C69" s="38" t="s">
        <v>309</v>
      </c>
      <c r="E69" s="38" t="s">
        <v>310</v>
      </c>
      <c r="F69" s="38">
        <v>2036748639</v>
      </c>
      <c r="G69" s="38" t="b">
        <v>1</v>
      </c>
      <c r="H69" s="39">
        <v>49</v>
      </c>
      <c r="I69" s="72">
        <v>43864.143750000003</v>
      </c>
      <c r="J69" s="72">
        <v>43864.143750000003</v>
      </c>
      <c r="K69" s="45"/>
      <c r="L69" s="45"/>
    </row>
    <row r="70" spans="2:12">
      <c r="B70" s="39">
        <v>106</v>
      </c>
      <c r="C70" s="38" t="s">
        <v>311</v>
      </c>
      <c r="E70" s="38" t="s">
        <v>312</v>
      </c>
      <c r="F70" s="38">
        <v>2036748639</v>
      </c>
      <c r="G70" s="38" t="b">
        <v>1</v>
      </c>
      <c r="H70" s="39">
        <v>49</v>
      </c>
      <c r="I70" s="72">
        <v>43864.144444444399</v>
      </c>
      <c r="J70" s="72">
        <v>43864.144444444399</v>
      </c>
      <c r="K70" s="45"/>
      <c r="L70" s="45"/>
    </row>
    <row r="71" spans="2:12">
      <c r="B71" s="39">
        <v>107</v>
      </c>
      <c r="C71" s="38" t="s">
        <v>313</v>
      </c>
      <c r="E71" s="38" t="s">
        <v>314</v>
      </c>
      <c r="F71" s="38">
        <v>2036748639</v>
      </c>
      <c r="G71" s="38" t="b">
        <v>1</v>
      </c>
      <c r="H71" s="39">
        <v>49</v>
      </c>
      <c r="I71" s="72">
        <v>43864.145138888904</v>
      </c>
      <c r="J71" s="72">
        <v>43864.145138888904</v>
      </c>
      <c r="K71" s="45"/>
      <c r="L71" s="45"/>
    </row>
    <row r="72" spans="2:12">
      <c r="B72" s="39">
        <v>108</v>
      </c>
      <c r="C72" s="38" t="s">
        <v>315</v>
      </c>
      <c r="E72" s="38" t="s">
        <v>316</v>
      </c>
      <c r="F72" s="38">
        <v>2070366980</v>
      </c>
      <c r="G72" s="38" t="b">
        <v>0</v>
      </c>
      <c r="H72" s="39">
        <v>51</v>
      </c>
      <c r="I72" s="70" t="s">
        <v>317</v>
      </c>
      <c r="J72" s="70" t="s">
        <v>317</v>
      </c>
    </row>
    <row r="73" spans="2:12">
      <c r="B73" s="39">
        <v>109</v>
      </c>
      <c r="C73" s="38" t="s">
        <v>318</v>
      </c>
      <c r="E73" s="38" t="s">
        <v>319</v>
      </c>
      <c r="F73" s="38">
        <v>2070366980</v>
      </c>
      <c r="G73" s="38" t="b">
        <v>1</v>
      </c>
      <c r="H73" s="39">
        <v>51</v>
      </c>
      <c r="I73" s="70" t="s">
        <v>320</v>
      </c>
      <c r="J73" s="70" t="s">
        <v>320</v>
      </c>
    </row>
    <row r="74" spans="2:12">
      <c r="B74" s="39">
        <v>110</v>
      </c>
      <c r="C74" s="38" t="s">
        <v>321</v>
      </c>
      <c r="E74" s="38" t="s">
        <v>322</v>
      </c>
      <c r="F74" s="38">
        <v>2070366980</v>
      </c>
      <c r="G74" s="38" t="b">
        <v>1</v>
      </c>
      <c r="H74" s="39">
        <v>51</v>
      </c>
      <c r="I74" s="70" t="s">
        <v>323</v>
      </c>
      <c r="J74" s="70" t="s">
        <v>323</v>
      </c>
    </row>
    <row r="75" spans="2:12">
      <c r="B75" s="39">
        <v>111</v>
      </c>
      <c r="C75" s="38" t="s">
        <v>324</v>
      </c>
      <c r="E75" s="38" t="s">
        <v>325</v>
      </c>
      <c r="F75" s="38">
        <v>2070366980</v>
      </c>
      <c r="G75" s="38" t="b">
        <v>1</v>
      </c>
      <c r="H75" s="39">
        <v>51</v>
      </c>
      <c r="I75" s="70" t="s">
        <v>326</v>
      </c>
      <c r="J75" s="70" t="s">
        <v>326</v>
      </c>
    </row>
    <row r="76" spans="2:12">
      <c r="B76" s="39">
        <v>112</v>
      </c>
      <c r="C76" s="38" t="s">
        <v>327</v>
      </c>
      <c r="E76" s="38" t="s">
        <v>328</v>
      </c>
      <c r="F76" s="38">
        <v>2070366980</v>
      </c>
      <c r="G76" s="38" t="b">
        <v>1</v>
      </c>
      <c r="H76" s="39">
        <v>51</v>
      </c>
      <c r="I76" s="70" t="s">
        <v>329</v>
      </c>
      <c r="J76" s="70" t="s">
        <v>330</v>
      </c>
    </row>
    <row r="77" spans="2:12">
      <c r="B77" s="39">
        <v>113</v>
      </c>
      <c r="C77" s="38" t="s">
        <v>331</v>
      </c>
      <c r="E77" s="38" t="s">
        <v>332</v>
      </c>
      <c r="F77" s="38">
        <v>2070366980</v>
      </c>
      <c r="G77" s="38" t="b">
        <v>1</v>
      </c>
      <c r="H77" s="39">
        <v>51</v>
      </c>
      <c r="I77" s="70" t="s">
        <v>333</v>
      </c>
      <c r="J77" s="70" t="s">
        <v>333</v>
      </c>
    </row>
    <row r="78" spans="2:12">
      <c r="B78" s="39">
        <v>114</v>
      </c>
      <c r="C78" s="38" t="s">
        <v>334</v>
      </c>
      <c r="E78" s="38" t="s">
        <v>335</v>
      </c>
      <c r="F78" s="38">
        <v>12312312323</v>
      </c>
      <c r="G78" s="38" t="b">
        <v>1</v>
      </c>
      <c r="H78" s="39">
        <v>46</v>
      </c>
      <c r="I78" s="70" t="s">
        <v>336</v>
      </c>
      <c r="J78" s="70" t="s">
        <v>336</v>
      </c>
    </row>
    <row r="79" spans="2:12">
      <c r="B79" s="39">
        <v>115</v>
      </c>
      <c r="C79" s="38" t="s">
        <v>337</v>
      </c>
      <c r="E79" s="38" t="s">
        <v>338</v>
      </c>
      <c r="F79" s="38" t="s">
        <v>144</v>
      </c>
      <c r="G79" s="38" t="b">
        <v>1</v>
      </c>
      <c r="H79" s="39" t="s">
        <v>144</v>
      </c>
      <c r="I79" s="72">
        <v>43957.206250000003</v>
      </c>
      <c r="J79" s="72">
        <v>43957.206250000003</v>
      </c>
      <c r="K79" s="45"/>
      <c r="L79" s="45"/>
    </row>
    <row r="80" spans="2:12">
      <c r="B80" s="39">
        <v>116</v>
      </c>
      <c r="C80" s="38" t="s">
        <v>339</v>
      </c>
      <c r="E80" s="38" t="s">
        <v>340</v>
      </c>
      <c r="F80" s="38" t="s">
        <v>144</v>
      </c>
      <c r="G80" s="38" t="b">
        <v>1</v>
      </c>
      <c r="H80" s="39">
        <v>83</v>
      </c>
      <c r="I80" s="70" t="s">
        <v>341</v>
      </c>
      <c r="J80" s="70" t="s">
        <v>341</v>
      </c>
    </row>
    <row r="81" spans="2:12">
      <c r="B81" s="39">
        <v>117</v>
      </c>
      <c r="C81" s="38" t="s">
        <v>342</v>
      </c>
      <c r="E81" s="38" t="s">
        <v>343</v>
      </c>
      <c r="F81" s="38">
        <v>123456</v>
      </c>
      <c r="G81" s="38" t="b">
        <v>1</v>
      </c>
      <c r="H81" s="39">
        <v>81</v>
      </c>
      <c r="I81" s="70" t="s">
        <v>341</v>
      </c>
      <c r="J81" s="70" t="s">
        <v>341</v>
      </c>
    </row>
    <row r="82" spans="2:12">
      <c r="B82" s="39">
        <v>118</v>
      </c>
      <c r="C82" s="38" t="s">
        <v>344</v>
      </c>
      <c r="E82" s="38" t="s">
        <v>345</v>
      </c>
      <c r="F82" s="38" t="s">
        <v>144</v>
      </c>
      <c r="G82" s="38" t="b">
        <v>1</v>
      </c>
      <c r="H82" s="39">
        <v>84</v>
      </c>
      <c r="I82" s="70" t="s">
        <v>346</v>
      </c>
      <c r="J82" s="72">
        <v>43837.648611111101</v>
      </c>
      <c r="K82" s="45"/>
      <c r="L82" s="45"/>
    </row>
    <row r="83" spans="2:12">
      <c r="B83" s="39">
        <v>119</v>
      </c>
      <c r="C83" s="38" t="s">
        <v>347</v>
      </c>
      <c r="E83" s="38" t="s">
        <v>348</v>
      </c>
      <c r="F83" s="38" t="s">
        <v>144</v>
      </c>
      <c r="G83" s="38" t="b">
        <v>1</v>
      </c>
      <c r="H83" s="39">
        <v>85</v>
      </c>
      <c r="I83" s="70" t="s">
        <v>349</v>
      </c>
      <c r="J83" s="70" t="s">
        <v>349</v>
      </c>
    </row>
    <row r="84" spans="2:12">
      <c r="B84" s="39">
        <v>120</v>
      </c>
      <c r="C84" s="38" t="s">
        <v>350</v>
      </c>
      <c r="E84" s="38" t="s">
        <v>351</v>
      </c>
      <c r="F84" s="38">
        <v>7827291083</v>
      </c>
      <c r="G84" s="38" t="b">
        <v>1</v>
      </c>
      <c r="H84" s="39">
        <v>85</v>
      </c>
      <c r="I84" s="70" t="s">
        <v>352</v>
      </c>
      <c r="J84" s="70" t="s">
        <v>352</v>
      </c>
    </row>
    <row r="85" spans="2:12">
      <c r="B85" s="39">
        <v>121</v>
      </c>
      <c r="C85" s="38" t="s">
        <v>353</v>
      </c>
      <c r="E85" s="38" t="s">
        <v>354</v>
      </c>
      <c r="F85" s="38" t="s">
        <v>144</v>
      </c>
      <c r="G85" s="38" t="b">
        <v>1</v>
      </c>
      <c r="H85" s="39">
        <v>86</v>
      </c>
      <c r="I85" s="72">
        <v>43868.311111111099</v>
      </c>
      <c r="J85" s="72">
        <v>43868.311111111099</v>
      </c>
      <c r="K85" s="45"/>
      <c r="L85" s="45"/>
    </row>
    <row r="86" spans="2:12">
      <c r="B86" s="39">
        <v>122</v>
      </c>
      <c r="C86" s="38" t="s">
        <v>355</v>
      </c>
      <c r="E86" s="38" t="s">
        <v>356</v>
      </c>
      <c r="F86" s="38">
        <v>7940701351</v>
      </c>
      <c r="G86" s="38" t="b">
        <v>1</v>
      </c>
      <c r="H86" s="39">
        <v>86</v>
      </c>
      <c r="I86" s="72">
        <v>43868.313194444403</v>
      </c>
      <c r="J86" s="72">
        <v>43868.313194444403</v>
      </c>
      <c r="K86" s="45"/>
      <c r="L86" s="45"/>
    </row>
    <row r="87" spans="2:12">
      <c r="B87" s="39">
        <v>123</v>
      </c>
      <c r="C87" s="38" t="s">
        <v>357</v>
      </c>
      <c r="E87" s="38" t="s">
        <v>358</v>
      </c>
      <c r="F87" s="38" t="s">
        <v>359</v>
      </c>
      <c r="G87" s="38" t="b">
        <v>1</v>
      </c>
      <c r="H87" s="39">
        <v>49</v>
      </c>
      <c r="I87" s="70" t="s">
        <v>360</v>
      </c>
      <c r="J87" s="70" t="s">
        <v>360</v>
      </c>
    </row>
    <row r="88" spans="2:12">
      <c r="B88" s="39">
        <v>124</v>
      </c>
      <c r="C88" s="38" t="s">
        <v>361</v>
      </c>
      <c r="E88" s="38" t="s">
        <v>362</v>
      </c>
      <c r="F88" s="38" t="s">
        <v>144</v>
      </c>
      <c r="G88" s="38" t="b">
        <v>1</v>
      </c>
      <c r="H88" s="39">
        <v>87</v>
      </c>
      <c r="I88" s="70" t="s">
        <v>363</v>
      </c>
      <c r="J88" s="70" t="s">
        <v>363</v>
      </c>
    </row>
    <row r="89" spans="2:12">
      <c r="B89" s="39">
        <v>127</v>
      </c>
      <c r="C89" s="38" t="s">
        <v>364</v>
      </c>
      <c r="E89" s="38" t="s">
        <v>365</v>
      </c>
      <c r="F89" s="38" t="s">
        <v>144</v>
      </c>
      <c r="G89" s="38" t="b">
        <v>1</v>
      </c>
      <c r="H89" s="39">
        <v>90</v>
      </c>
      <c r="I89" s="70" t="s">
        <v>366</v>
      </c>
      <c r="J89" s="70" t="s">
        <v>366</v>
      </c>
    </row>
    <row r="90" spans="2:12">
      <c r="B90" s="39">
        <v>128</v>
      </c>
      <c r="C90" s="38" t="s">
        <v>367</v>
      </c>
      <c r="E90" s="38" t="s">
        <v>368</v>
      </c>
      <c r="F90" s="38" t="s">
        <v>144</v>
      </c>
      <c r="G90" s="38" t="b">
        <v>1</v>
      </c>
      <c r="H90" s="39">
        <v>91</v>
      </c>
      <c r="I90" s="70" t="s">
        <v>369</v>
      </c>
      <c r="J90" s="70" t="s">
        <v>369</v>
      </c>
    </row>
    <row r="91" spans="2:12">
      <c r="B91" s="39">
        <v>129</v>
      </c>
      <c r="C91" s="38" t="s">
        <v>370</v>
      </c>
      <c r="E91" s="38" t="s">
        <v>371</v>
      </c>
      <c r="F91" s="38" t="s">
        <v>144</v>
      </c>
      <c r="G91" s="38" t="b">
        <v>1</v>
      </c>
      <c r="H91" s="39">
        <v>92</v>
      </c>
      <c r="I91" s="70" t="s">
        <v>372</v>
      </c>
      <c r="J91" s="70" t="s">
        <v>372</v>
      </c>
    </row>
    <row r="92" spans="2:12">
      <c r="B92" s="39">
        <v>130</v>
      </c>
      <c r="C92" s="38" t="s">
        <v>373</v>
      </c>
      <c r="E92" s="38" t="s">
        <v>374</v>
      </c>
      <c r="F92" s="38" t="s">
        <v>144</v>
      </c>
      <c r="G92" s="38" t="b">
        <v>1</v>
      </c>
      <c r="H92" s="39">
        <v>93</v>
      </c>
      <c r="I92" s="70" t="s">
        <v>375</v>
      </c>
      <c r="J92" s="70" t="s">
        <v>375</v>
      </c>
    </row>
    <row r="93" spans="2:12">
      <c r="B93" s="39">
        <v>131</v>
      </c>
      <c r="C93" s="38" t="s">
        <v>376</v>
      </c>
      <c r="E93" s="38" t="s">
        <v>377</v>
      </c>
      <c r="F93" s="38">
        <v>7450129753</v>
      </c>
      <c r="G93" s="38" t="b">
        <v>1</v>
      </c>
      <c r="H93" s="39">
        <v>92</v>
      </c>
      <c r="I93" s="70" t="s">
        <v>378</v>
      </c>
      <c r="J93" s="70" t="s">
        <v>379</v>
      </c>
    </row>
    <row r="94" spans="2:12">
      <c r="B94" s="39">
        <v>132</v>
      </c>
      <c r="C94" s="38" t="s">
        <v>380</v>
      </c>
      <c r="E94" s="38" t="s">
        <v>381</v>
      </c>
      <c r="F94" s="38">
        <v>7592257472</v>
      </c>
      <c r="G94" s="38" t="b">
        <v>0</v>
      </c>
      <c r="H94" s="39">
        <v>92</v>
      </c>
      <c r="I94" s="70" t="s">
        <v>382</v>
      </c>
      <c r="J94" s="70" t="s">
        <v>382</v>
      </c>
    </row>
    <row r="95" spans="2:12">
      <c r="B95" s="39">
        <v>133</v>
      </c>
      <c r="C95" s="38" t="s">
        <v>383</v>
      </c>
      <c r="E95" s="38" t="s">
        <v>384</v>
      </c>
      <c r="F95" s="38" t="s">
        <v>144</v>
      </c>
      <c r="G95" s="38" t="b">
        <v>1</v>
      </c>
      <c r="H95" s="39">
        <v>94</v>
      </c>
      <c r="I95" s="72">
        <v>43898.379166666702</v>
      </c>
      <c r="J95" s="72">
        <v>43898.379166666702</v>
      </c>
      <c r="K95" s="45"/>
      <c r="L95" s="45"/>
    </row>
    <row r="96" spans="2:12">
      <c r="B96" s="39">
        <v>134</v>
      </c>
      <c r="C96" s="38" t="s">
        <v>385</v>
      </c>
      <c r="E96" s="38" t="s">
        <v>386</v>
      </c>
      <c r="F96" s="38">
        <v>2070366987</v>
      </c>
      <c r="G96" s="38" t="b">
        <v>1</v>
      </c>
      <c r="H96" s="39">
        <v>51</v>
      </c>
      <c r="I96" s="72">
        <v>43898.381249999999</v>
      </c>
      <c r="J96" s="70" t="s">
        <v>387</v>
      </c>
    </row>
    <row r="97" spans="2:12">
      <c r="B97" s="39">
        <v>135</v>
      </c>
      <c r="C97" s="38" t="s">
        <v>388</v>
      </c>
      <c r="E97" s="38" t="s">
        <v>389</v>
      </c>
      <c r="F97" s="38">
        <v>2070366980</v>
      </c>
      <c r="G97" s="38" t="b">
        <v>0</v>
      </c>
      <c r="H97" s="39">
        <v>51</v>
      </c>
      <c r="I97" s="72">
        <v>43898.381944444402</v>
      </c>
      <c r="J97" s="72">
        <v>43898.383333333302</v>
      </c>
      <c r="K97" s="45"/>
      <c r="L97" s="45"/>
    </row>
    <row r="98" spans="2:12">
      <c r="B98" s="39">
        <v>136</v>
      </c>
      <c r="C98" s="38" t="s">
        <v>390</v>
      </c>
      <c r="E98" s="38" t="s">
        <v>391</v>
      </c>
      <c r="F98" s="38" t="s">
        <v>144</v>
      </c>
      <c r="G98" s="38" t="b">
        <v>1</v>
      </c>
      <c r="H98" s="39">
        <v>95</v>
      </c>
      <c r="I98" s="72">
        <v>43898.454861111102</v>
      </c>
      <c r="J98" s="72">
        <v>43898.454861111102</v>
      </c>
      <c r="K98" s="45"/>
      <c r="L98" s="45"/>
    </row>
    <row r="99" spans="2:12">
      <c r="B99" s="39">
        <v>137</v>
      </c>
      <c r="C99" s="38" t="s">
        <v>392</v>
      </c>
      <c r="E99" s="38" t="s">
        <v>393</v>
      </c>
      <c r="F99" s="38" t="s">
        <v>144</v>
      </c>
      <c r="G99" s="38" t="b">
        <v>1</v>
      </c>
      <c r="H99" s="39">
        <v>96</v>
      </c>
      <c r="I99" s="72">
        <v>43898.4555555556</v>
      </c>
      <c r="J99" s="72">
        <v>43898.4555555556</v>
      </c>
      <c r="K99" s="45"/>
      <c r="L99" s="45"/>
    </row>
    <row r="100" spans="2:12">
      <c r="B100" s="39">
        <v>138</v>
      </c>
      <c r="C100" s="38" t="s">
        <v>394</v>
      </c>
      <c r="E100" s="38" t="s">
        <v>395</v>
      </c>
      <c r="F100" s="38" t="s">
        <v>144</v>
      </c>
      <c r="G100" s="38" t="b">
        <v>1</v>
      </c>
      <c r="H100" s="39">
        <v>97</v>
      </c>
      <c r="I100" s="72">
        <v>43898.456944444399</v>
      </c>
      <c r="J100" s="72">
        <v>43898.456944444399</v>
      </c>
      <c r="K100" s="45"/>
      <c r="L100" s="45"/>
    </row>
    <row r="101" spans="2:12">
      <c r="B101" s="39">
        <v>139</v>
      </c>
      <c r="C101" s="38" t="s">
        <v>396</v>
      </c>
      <c r="E101" s="38" t="s">
        <v>397</v>
      </c>
      <c r="F101" s="38" t="s">
        <v>144</v>
      </c>
      <c r="G101" s="38" t="b">
        <v>0</v>
      </c>
      <c r="H101" s="39">
        <v>98</v>
      </c>
      <c r="I101" s="72">
        <v>43898.463888888902</v>
      </c>
      <c r="J101" s="72">
        <v>43898.463888888902</v>
      </c>
      <c r="K101" s="45"/>
      <c r="L101" s="45"/>
    </row>
    <row r="102" spans="2:12">
      <c r="B102" s="39">
        <v>140</v>
      </c>
      <c r="C102" s="38" t="s">
        <v>398</v>
      </c>
      <c r="E102" s="38" t="s">
        <v>399</v>
      </c>
      <c r="F102" s="38" t="s">
        <v>144</v>
      </c>
      <c r="G102" s="38" t="b">
        <v>1</v>
      </c>
      <c r="H102" s="39">
        <v>99</v>
      </c>
      <c r="I102" s="72">
        <v>44112.462500000001</v>
      </c>
      <c r="J102" s="72">
        <v>43839.668749999997</v>
      </c>
      <c r="K102" s="45"/>
      <c r="L102" s="45"/>
    </row>
    <row r="103" spans="2:12">
      <c r="B103" s="39">
        <v>141</v>
      </c>
      <c r="C103" s="38" t="s">
        <v>400</v>
      </c>
      <c r="E103" s="38" t="s">
        <v>401</v>
      </c>
      <c r="F103" s="38" t="s">
        <v>359</v>
      </c>
      <c r="G103" s="38" t="b">
        <v>1</v>
      </c>
      <c r="H103" s="39">
        <v>49</v>
      </c>
      <c r="I103" s="72">
        <v>44112.470833333296</v>
      </c>
      <c r="J103" s="72">
        <v>43839.666666666701</v>
      </c>
      <c r="K103" s="45"/>
      <c r="L103" s="45"/>
    </row>
    <row r="104" spans="2:12">
      <c r="B104" s="39">
        <v>142</v>
      </c>
      <c r="C104" s="38" t="s">
        <v>402</v>
      </c>
      <c r="E104" s="38" t="s">
        <v>403</v>
      </c>
      <c r="F104" s="38">
        <v>2080501303</v>
      </c>
      <c r="G104" s="38" t="b">
        <v>1</v>
      </c>
      <c r="H104" s="39">
        <v>49</v>
      </c>
      <c r="I104" s="72">
        <v>44112.488888888904</v>
      </c>
      <c r="J104" s="72">
        <v>44112.488888888904</v>
      </c>
      <c r="K104" s="45"/>
      <c r="L104" s="45"/>
    </row>
    <row r="105" spans="2:12">
      <c r="B105" s="39">
        <v>143</v>
      </c>
      <c r="C105" s="38" t="s">
        <v>404</v>
      </c>
      <c r="E105" s="38" t="s">
        <v>405</v>
      </c>
      <c r="F105" s="38" t="s">
        <v>144</v>
      </c>
      <c r="G105" s="38" t="b">
        <v>1</v>
      </c>
      <c r="H105" s="39">
        <v>100</v>
      </c>
      <c r="I105" s="72">
        <v>44112.713888888902</v>
      </c>
      <c r="J105" s="72">
        <v>44112.713888888902</v>
      </c>
      <c r="K105" s="45"/>
      <c r="L105" s="45"/>
    </row>
    <row r="106" spans="2:12">
      <c r="B106" s="39">
        <v>144</v>
      </c>
      <c r="C106" s="38" t="s">
        <v>406</v>
      </c>
      <c r="E106" s="38" t="s">
        <v>407</v>
      </c>
      <c r="F106" s="38" t="s">
        <v>144</v>
      </c>
      <c r="G106" s="38" t="b">
        <v>1</v>
      </c>
      <c r="H106" s="39">
        <v>101</v>
      </c>
      <c r="I106" s="72">
        <v>44143.692361111098</v>
      </c>
      <c r="J106" s="72">
        <v>44143.692361111098</v>
      </c>
      <c r="K106" s="45"/>
      <c r="L106" s="45"/>
    </row>
    <row r="107" spans="2:12">
      <c r="B107" s="39">
        <v>145</v>
      </c>
      <c r="C107" s="38" t="s">
        <v>408</v>
      </c>
      <c r="E107" s="38" t="s">
        <v>409</v>
      </c>
      <c r="F107" s="38">
        <v>2070366980</v>
      </c>
      <c r="G107" s="38" t="b">
        <v>1</v>
      </c>
      <c r="H107" s="39">
        <v>51</v>
      </c>
      <c r="I107" s="72">
        <v>44143.695833333302</v>
      </c>
      <c r="J107" s="70" t="s">
        <v>410</v>
      </c>
    </row>
    <row r="108" spans="2:12">
      <c r="B108" s="39">
        <v>146</v>
      </c>
      <c r="C108" s="38" t="s">
        <v>411</v>
      </c>
      <c r="E108" s="38" t="s">
        <v>412</v>
      </c>
      <c r="F108" s="38" t="s">
        <v>144</v>
      </c>
      <c r="G108" s="38" t="b">
        <v>1</v>
      </c>
      <c r="H108" s="39">
        <v>102</v>
      </c>
      <c r="I108" s="72">
        <v>44173.863888888904</v>
      </c>
      <c r="J108" s="72">
        <v>44173.863888888904</v>
      </c>
      <c r="K108" s="45"/>
      <c r="L108" s="45"/>
    </row>
    <row r="109" spans="2:12">
      <c r="B109" s="39">
        <v>148</v>
      </c>
      <c r="C109" s="38" t="s">
        <v>413</v>
      </c>
      <c r="E109" s="38" t="s">
        <v>414</v>
      </c>
      <c r="F109" s="38" t="s">
        <v>144</v>
      </c>
      <c r="G109" s="38" t="b">
        <v>1</v>
      </c>
      <c r="H109" s="39">
        <v>103</v>
      </c>
      <c r="I109" s="70" t="s">
        <v>415</v>
      </c>
      <c r="J109" s="70" t="s">
        <v>415</v>
      </c>
    </row>
    <row r="110" spans="2:12">
      <c r="B110" s="39">
        <v>149</v>
      </c>
      <c r="C110" s="38" t="s">
        <v>416</v>
      </c>
      <c r="E110" s="38" t="s">
        <v>417</v>
      </c>
      <c r="F110" s="38">
        <v>2080501303</v>
      </c>
      <c r="G110" s="38" t="b">
        <v>1</v>
      </c>
      <c r="H110" s="39">
        <v>49</v>
      </c>
      <c r="I110" s="70" t="s">
        <v>418</v>
      </c>
      <c r="J110" s="70" t="s">
        <v>418</v>
      </c>
    </row>
    <row r="111" spans="2:12">
      <c r="B111" s="39">
        <v>150</v>
      </c>
      <c r="C111" s="38" t="s">
        <v>419</v>
      </c>
      <c r="E111" s="38" t="s">
        <v>420</v>
      </c>
      <c r="F111" s="38">
        <v>2070366980</v>
      </c>
      <c r="G111" s="38" t="b">
        <v>1</v>
      </c>
      <c r="H111" s="39">
        <v>84</v>
      </c>
      <c r="I111" s="70" t="s">
        <v>421</v>
      </c>
      <c r="J111" s="70" t="s">
        <v>422</v>
      </c>
    </row>
    <row r="112" spans="2:12">
      <c r="B112" s="39">
        <v>151</v>
      </c>
      <c r="C112" s="38" t="s">
        <v>423</v>
      </c>
      <c r="E112" s="38" t="s">
        <v>423</v>
      </c>
      <c r="F112" s="38" t="s">
        <v>144</v>
      </c>
      <c r="G112" s="38" t="b">
        <v>1</v>
      </c>
      <c r="H112" s="39">
        <v>104</v>
      </c>
      <c r="I112" s="70" t="s">
        <v>424</v>
      </c>
      <c r="J112" s="70" t="s">
        <v>424</v>
      </c>
    </row>
    <row r="113" spans="2:12">
      <c r="B113" s="39">
        <v>152</v>
      </c>
      <c r="C113" s="38" t="s">
        <v>425</v>
      </c>
      <c r="E113" s="38" t="s">
        <v>426</v>
      </c>
      <c r="F113" s="38" t="s">
        <v>144</v>
      </c>
      <c r="G113" s="38" t="b">
        <v>1</v>
      </c>
      <c r="H113" s="39">
        <v>105</v>
      </c>
      <c r="I113" s="70" t="s">
        <v>427</v>
      </c>
      <c r="J113" s="70" t="s">
        <v>427</v>
      </c>
    </row>
    <row r="114" spans="2:12">
      <c r="B114" s="39">
        <v>164</v>
      </c>
      <c r="C114" s="38" t="s">
        <v>428</v>
      </c>
      <c r="E114" s="38" t="s">
        <v>429</v>
      </c>
      <c r="F114" s="38">
        <v>123123123</v>
      </c>
      <c r="G114" s="38" t="b">
        <v>1</v>
      </c>
      <c r="H114" s="39">
        <v>117</v>
      </c>
      <c r="I114" s="70" t="s">
        <v>430</v>
      </c>
      <c r="J114" s="70" t="s">
        <v>430</v>
      </c>
    </row>
    <row r="115" spans="2:12">
      <c r="B115" s="39">
        <v>165</v>
      </c>
      <c r="C115" s="38" t="s">
        <v>431</v>
      </c>
      <c r="E115" s="38" t="s">
        <v>432</v>
      </c>
      <c r="F115" s="38">
        <v>123213</v>
      </c>
      <c r="G115" s="38" t="b">
        <v>1</v>
      </c>
      <c r="H115" s="39">
        <v>117</v>
      </c>
      <c r="I115" s="70" t="s">
        <v>433</v>
      </c>
      <c r="J115" s="70" t="s">
        <v>433</v>
      </c>
    </row>
    <row r="116" spans="2:12">
      <c r="B116" s="39">
        <v>166</v>
      </c>
      <c r="C116" s="38" t="s">
        <v>434</v>
      </c>
      <c r="E116" s="38" t="s">
        <v>435</v>
      </c>
      <c r="F116" s="38">
        <v>2080501303</v>
      </c>
      <c r="G116" s="38" t="b">
        <v>1</v>
      </c>
      <c r="H116" s="39">
        <v>49</v>
      </c>
      <c r="I116" s="72">
        <v>43839.440277777801</v>
      </c>
      <c r="J116" s="70" t="s">
        <v>436</v>
      </c>
    </row>
    <row r="117" spans="2:12">
      <c r="B117" s="39">
        <v>167</v>
      </c>
      <c r="C117" s="38" t="s">
        <v>437</v>
      </c>
      <c r="E117" s="38" t="s">
        <v>438</v>
      </c>
      <c r="F117" s="38" t="s">
        <v>144</v>
      </c>
      <c r="G117" s="38" t="b">
        <v>1</v>
      </c>
      <c r="H117" s="39">
        <v>122</v>
      </c>
      <c r="I117" s="72">
        <v>44083.862500000003</v>
      </c>
      <c r="J117" s="72">
        <v>44083.862500000003</v>
      </c>
      <c r="K117" s="45"/>
      <c r="L117" s="45"/>
    </row>
    <row r="118" spans="2:12">
      <c r="B118" s="39">
        <v>168</v>
      </c>
      <c r="C118" s="38" t="s">
        <v>439</v>
      </c>
      <c r="E118" s="38" t="s">
        <v>440</v>
      </c>
      <c r="F118" s="38" t="s">
        <v>144</v>
      </c>
      <c r="G118" s="38" t="b">
        <v>1</v>
      </c>
      <c r="H118" s="39" t="s">
        <v>144</v>
      </c>
      <c r="I118" s="72">
        <v>44113.722222222197</v>
      </c>
      <c r="J118" s="72">
        <v>44113.722222222197</v>
      </c>
      <c r="K118" s="45"/>
      <c r="L118" s="45"/>
    </row>
    <row r="119" spans="2:12">
      <c r="B119" s="39">
        <v>170</v>
      </c>
      <c r="C119" s="38" t="s">
        <v>441</v>
      </c>
      <c r="E119" s="38" t="s">
        <v>442</v>
      </c>
      <c r="F119" s="38" t="s">
        <v>144</v>
      </c>
      <c r="G119" s="38" t="b">
        <v>1</v>
      </c>
      <c r="H119" s="39">
        <v>124</v>
      </c>
      <c r="I119" s="70" t="s">
        <v>443</v>
      </c>
      <c r="J119" s="70" t="s">
        <v>443</v>
      </c>
    </row>
    <row r="120" spans="2:12">
      <c r="B120" s="39">
        <v>171</v>
      </c>
      <c r="C120" s="38" t="s">
        <v>444</v>
      </c>
      <c r="E120" s="38" t="s">
        <v>445</v>
      </c>
      <c r="F120" s="38">
        <v>2080501303</v>
      </c>
      <c r="G120" s="38" t="b">
        <v>1</v>
      </c>
      <c r="H120" s="39">
        <v>49</v>
      </c>
      <c r="I120" s="70" t="s">
        <v>446</v>
      </c>
      <c r="J120" s="70" t="s">
        <v>446</v>
      </c>
    </row>
    <row r="121" spans="2:12">
      <c r="B121" s="39">
        <v>172</v>
      </c>
      <c r="C121" s="38" t="s">
        <v>447</v>
      </c>
      <c r="E121" s="38" t="s">
        <v>448</v>
      </c>
      <c r="F121" s="38" t="s">
        <v>144</v>
      </c>
      <c r="G121" s="38" t="b">
        <v>1</v>
      </c>
      <c r="H121" s="39">
        <v>126</v>
      </c>
      <c r="I121" s="70" t="s">
        <v>449</v>
      </c>
      <c r="J121" s="70" t="s">
        <v>449</v>
      </c>
    </row>
    <row r="122" spans="2:12">
      <c r="B122" s="39">
        <v>173</v>
      </c>
      <c r="C122" s="38" t="s">
        <v>450</v>
      </c>
      <c r="E122" s="38" t="s">
        <v>451</v>
      </c>
      <c r="F122" s="38" t="s">
        <v>144</v>
      </c>
      <c r="G122" s="38" t="b">
        <v>1</v>
      </c>
      <c r="H122" s="39">
        <v>127</v>
      </c>
      <c r="I122" s="72">
        <v>44114.910416666702</v>
      </c>
      <c r="J122" s="72">
        <v>44114.910416666702</v>
      </c>
      <c r="K122" s="45"/>
      <c r="L122" s="45"/>
    </row>
    <row r="123" spans="2:12">
      <c r="B123" s="39">
        <v>174</v>
      </c>
      <c r="C123" s="38" t="s">
        <v>452</v>
      </c>
      <c r="E123" s="38" t="s">
        <v>453</v>
      </c>
      <c r="F123" s="38" t="s">
        <v>144</v>
      </c>
      <c r="G123" s="38" t="b">
        <v>1</v>
      </c>
      <c r="H123" s="39">
        <v>129</v>
      </c>
      <c r="I123" s="70" t="s">
        <v>454</v>
      </c>
      <c r="J123" s="70" t="s">
        <v>455</v>
      </c>
    </row>
    <row r="124" spans="2:12">
      <c r="B124" s="39">
        <v>175</v>
      </c>
      <c r="C124" s="38" t="s">
        <v>456</v>
      </c>
      <c r="E124" s="38" t="s">
        <v>457</v>
      </c>
      <c r="F124" s="38" t="s">
        <v>144</v>
      </c>
      <c r="G124" s="38" t="b">
        <v>1</v>
      </c>
      <c r="H124" s="39">
        <v>130</v>
      </c>
      <c r="I124" s="70" t="s">
        <v>458</v>
      </c>
      <c r="J124" s="70" t="s">
        <v>458</v>
      </c>
    </row>
    <row r="125" spans="2:12">
      <c r="B125" s="39">
        <v>176</v>
      </c>
      <c r="C125" s="38" t="s">
        <v>459</v>
      </c>
      <c r="E125" s="38" t="s">
        <v>460</v>
      </c>
      <c r="F125" s="38" t="s">
        <v>461</v>
      </c>
      <c r="G125" s="38" t="b">
        <v>1</v>
      </c>
      <c r="H125" s="39">
        <v>84</v>
      </c>
      <c r="I125" s="70" t="s">
        <v>462</v>
      </c>
      <c r="J125" s="70" t="s">
        <v>462</v>
      </c>
    </row>
    <row r="126" spans="2:12">
      <c r="B126" s="39">
        <v>177</v>
      </c>
      <c r="C126" s="38" t="s">
        <v>463</v>
      </c>
      <c r="E126" s="38" t="s">
        <v>464</v>
      </c>
      <c r="F126" s="38" t="s">
        <v>144</v>
      </c>
      <c r="G126" s="38" t="b">
        <v>1</v>
      </c>
      <c r="H126" s="39" t="s">
        <v>144</v>
      </c>
      <c r="I126" s="70" t="s">
        <v>465</v>
      </c>
      <c r="J126" s="70" t="s">
        <v>465</v>
      </c>
    </row>
    <row r="127" spans="2:12">
      <c r="B127" s="39">
        <v>178</v>
      </c>
      <c r="C127" s="38" t="s">
        <v>466</v>
      </c>
      <c r="E127" s="38" t="s">
        <v>467</v>
      </c>
      <c r="F127" s="38">
        <v>111111111</v>
      </c>
      <c r="G127" s="38" t="b">
        <v>1</v>
      </c>
      <c r="H127" s="39">
        <v>49</v>
      </c>
      <c r="I127" s="70" t="s">
        <v>468</v>
      </c>
      <c r="J127" s="70" t="s">
        <v>468</v>
      </c>
    </row>
    <row r="128" spans="2:12">
      <c r="B128" s="39">
        <v>179</v>
      </c>
      <c r="C128" s="38" t="s">
        <v>469</v>
      </c>
      <c r="E128" s="38" t="s">
        <v>470</v>
      </c>
      <c r="F128" s="38" t="s">
        <v>144</v>
      </c>
      <c r="G128" s="38" t="b">
        <v>1</v>
      </c>
      <c r="H128" s="39">
        <v>131</v>
      </c>
      <c r="I128" s="70" t="s">
        <v>471</v>
      </c>
      <c r="J128" s="70" t="s">
        <v>471</v>
      </c>
    </row>
    <row r="129" spans="2:12">
      <c r="B129" s="39">
        <v>180</v>
      </c>
      <c r="C129" s="38" t="s">
        <v>472</v>
      </c>
      <c r="E129" s="38" t="s">
        <v>473</v>
      </c>
      <c r="F129" s="38">
        <v>2070366980</v>
      </c>
      <c r="G129" s="38" t="b">
        <v>1</v>
      </c>
      <c r="H129" s="39">
        <v>49</v>
      </c>
      <c r="I129" s="72">
        <v>43993.386805555601</v>
      </c>
      <c r="J129" s="72">
        <v>43993.386805555601</v>
      </c>
      <c r="K129" s="45"/>
      <c r="L129" s="45"/>
    </row>
    <row r="130" spans="2:12">
      <c r="B130" s="39">
        <v>181</v>
      </c>
      <c r="C130" s="38" t="s">
        <v>474</v>
      </c>
      <c r="E130" s="38" t="s">
        <v>474</v>
      </c>
      <c r="F130" s="38">
        <v>2070366980</v>
      </c>
      <c r="G130" s="38" t="b">
        <v>1</v>
      </c>
      <c r="H130" s="39">
        <v>49</v>
      </c>
      <c r="I130" s="72">
        <v>43993.390972222202</v>
      </c>
      <c r="J130" s="70" t="s">
        <v>475</v>
      </c>
    </row>
    <row r="131" spans="2:12">
      <c r="B131" s="39">
        <v>182</v>
      </c>
      <c r="C131" s="38" t="s">
        <v>476</v>
      </c>
      <c r="E131" s="38" t="s">
        <v>477</v>
      </c>
      <c r="F131" s="38" t="s">
        <v>144</v>
      </c>
      <c r="G131" s="38" t="b">
        <v>1</v>
      </c>
      <c r="H131" s="39">
        <v>136</v>
      </c>
      <c r="I131" s="72">
        <v>43993.688194444403</v>
      </c>
      <c r="J131" s="72">
        <v>43993.688194444403</v>
      </c>
      <c r="K131" s="45"/>
      <c r="L131" s="45"/>
    </row>
    <row r="132" spans="2:12">
      <c r="B132" s="39">
        <v>183</v>
      </c>
      <c r="C132" s="38" t="s">
        <v>478</v>
      </c>
      <c r="E132" s="38" t="s">
        <v>479</v>
      </c>
      <c r="F132" s="38" t="s">
        <v>144</v>
      </c>
      <c r="G132" s="38" t="b">
        <v>1</v>
      </c>
      <c r="H132" s="39">
        <v>137</v>
      </c>
      <c r="I132" s="70" t="s">
        <v>480</v>
      </c>
      <c r="J132" s="70" t="s">
        <v>480</v>
      </c>
    </row>
    <row r="133" spans="2:12">
      <c r="B133" s="39">
        <v>184</v>
      </c>
      <c r="C133" s="38" t="s">
        <v>481</v>
      </c>
      <c r="E133" s="38" t="s">
        <v>482</v>
      </c>
      <c r="F133" s="38">
        <v>2080501303</v>
      </c>
      <c r="G133" s="38" t="b">
        <v>1</v>
      </c>
      <c r="H133" s="39">
        <v>49</v>
      </c>
      <c r="I133" s="70" t="s">
        <v>483</v>
      </c>
      <c r="J133" s="72">
        <v>44323.565277777801</v>
      </c>
      <c r="K133" s="45"/>
      <c r="L133" s="45"/>
    </row>
    <row r="134" spans="2:12">
      <c r="B134" s="39">
        <v>185</v>
      </c>
      <c r="C134" s="38" t="s">
        <v>484</v>
      </c>
      <c r="E134" s="38" t="s">
        <v>485</v>
      </c>
      <c r="F134" s="38" t="s">
        <v>144</v>
      </c>
      <c r="G134" s="38" t="b">
        <v>1</v>
      </c>
      <c r="H134" s="39">
        <v>139</v>
      </c>
      <c r="I134" s="72">
        <v>44086.022916666698</v>
      </c>
      <c r="J134" s="72">
        <v>44086.022916666698</v>
      </c>
      <c r="K134" s="45"/>
      <c r="L134" s="45"/>
    </row>
    <row r="135" spans="2:12">
      <c r="B135" s="39">
        <v>186</v>
      </c>
      <c r="C135" s="38" t="s">
        <v>486</v>
      </c>
      <c r="E135" s="38" t="s">
        <v>487</v>
      </c>
      <c r="F135" s="38" t="s">
        <v>144</v>
      </c>
      <c r="G135" s="38" t="b">
        <v>1</v>
      </c>
      <c r="H135" s="39" t="s">
        <v>144</v>
      </c>
      <c r="I135" s="70" t="s">
        <v>488</v>
      </c>
      <c r="J135" s="70" t="s">
        <v>488</v>
      </c>
    </row>
    <row r="136" spans="2:12">
      <c r="B136" s="39">
        <v>187</v>
      </c>
      <c r="C136" s="38" t="s">
        <v>489</v>
      </c>
      <c r="E136" s="38" t="s">
        <v>490</v>
      </c>
      <c r="F136" s="38" t="s">
        <v>144</v>
      </c>
      <c r="G136" s="38" t="b">
        <v>1</v>
      </c>
      <c r="H136" s="39" t="s">
        <v>144</v>
      </c>
      <c r="I136" s="70" t="s">
        <v>491</v>
      </c>
      <c r="J136" s="70" t="s">
        <v>491</v>
      </c>
    </row>
    <row r="137" spans="2:12">
      <c r="B137" s="39">
        <v>188</v>
      </c>
      <c r="C137" s="38" t="s">
        <v>492</v>
      </c>
      <c r="E137" s="38" t="s">
        <v>493</v>
      </c>
      <c r="F137" s="38" t="s">
        <v>144</v>
      </c>
      <c r="G137" s="38" t="b">
        <v>1</v>
      </c>
      <c r="H137" s="39">
        <v>140</v>
      </c>
      <c r="I137" s="72">
        <v>44409.247222222199</v>
      </c>
      <c r="J137" s="72">
        <v>44409.247222222199</v>
      </c>
      <c r="K137" s="45"/>
      <c r="L137" s="45"/>
    </row>
    <row r="138" spans="2:12">
      <c r="B138" s="39">
        <v>189</v>
      </c>
      <c r="C138" s="38" t="s">
        <v>494</v>
      </c>
      <c r="E138" s="38" t="s">
        <v>495</v>
      </c>
      <c r="F138" s="38" t="s">
        <v>144</v>
      </c>
      <c r="G138" s="38" t="b">
        <v>1</v>
      </c>
      <c r="H138" s="39">
        <v>141</v>
      </c>
      <c r="I138" s="72">
        <v>44349.634722222203</v>
      </c>
      <c r="J138" s="72">
        <v>44349.634722222203</v>
      </c>
      <c r="K138" s="45"/>
      <c r="L138" s="45"/>
    </row>
    <row r="139" spans="2:12">
      <c r="B139" s="39">
        <v>190</v>
      </c>
      <c r="C139" s="38" t="s">
        <v>496</v>
      </c>
      <c r="E139" s="38" t="s">
        <v>497</v>
      </c>
      <c r="F139" s="38" t="s">
        <v>144</v>
      </c>
      <c r="G139" s="38" t="b">
        <v>1</v>
      </c>
      <c r="H139" s="39">
        <v>142</v>
      </c>
      <c r="I139" s="72">
        <v>44289.385416666701</v>
      </c>
      <c r="J139" s="72">
        <v>44289.385416666701</v>
      </c>
      <c r="K139" s="45"/>
      <c r="L139" s="45"/>
    </row>
    <row r="140" spans="2:12">
      <c r="B140" s="39">
        <v>191</v>
      </c>
      <c r="C140" s="38" t="s">
        <v>498</v>
      </c>
      <c r="E140" s="38" t="s">
        <v>499</v>
      </c>
      <c r="F140" s="38" t="s">
        <v>144</v>
      </c>
      <c r="G140" s="38" t="b">
        <v>1</v>
      </c>
      <c r="H140" s="39">
        <v>143</v>
      </c>
      <c r="I140" s="72">
        <v>44411.2097222222</v>
      </c>
      <c r="J140" s="72">
        <v>44411.2097222222</v>
      </c>
      <c r="K140" s="45"/>
      <c r="L140" s="45"/>
    </row>
    <row r="141" spans="2:12">
      <c r="B141" s="39">
        <v>192</v>
      </c>
      <c r="C141" s="38" t="s">
        <v>500</v>
      </c>
      <c r="E141" s="38" t="s">
        <v>501</v>
      </c>
      <c r="F141" s="38" t="s">
        <v>144</v>
      </c>
      <c r="G141" s="38" t="b">
        <v>1</v>
      </c>
      <c r="H141" s="39">
        <v>144</v>
      </c>
      <c r="I141" s="70" t="s">
        <v>502</v>
      </c>
      <c r="J141" s="70" t="s">
        <v>502</v>
      </c>
    </row>
    <row r="142" spans="2:12">
      <c r="B142" s="39">
        <v>193</v>
      </c>
      <c r="C142" s="38" t="s">
        <v>503</v>
      </c>
      <c r="E142" s="38" t="s">
        <v>504</v>
      </c>
      <c r="F142" s="38" t="s">
        <v>144</v>
      </c>
      <c r="G142" s="38" t="b">
        <v>1</v>
      </c>
      <c r="H142" s="39">
        <v>145</v>
      </c>
      <c r="I142" s="72">
        <v>44320.890972222202</v>
      </c>
      <c r="J142" s="72">
        <v>44320.890972222202</v>
      </c>
      <c r="K142" s="45"/>
      <c r="L142" s="45"/>
    </row>
    <row r="143" spans="2:12">
      <c r="B143" s="39">
        <v>194</v>
      </c>
      <c r="C143" s="38" t="s">
        <v>505</v>
      </c>
      <c r="E143" s="38" t="s">
        <v>506</v>
      </c>
      <c r="F143" s="38" t="s">
        <v>144</v>
      </c>
      <c r="G143" s="38" t="b">
        <v>1</v>
      </c>
      <c r="H143" s="39">
        <v>146</v>
      </c>
      <c r="I143" s="70" t="s">
        <v>507</v>
      </c>
      <c r="J143" s="70" t="s">
        <v>507</v>
      </c>
    </row>
    <row r="144" spans="2:12">
      <c r="B144" s="39">
        <v>195</v>
      </c>
      <c r="C144" s="38" t="s">
        <v>508</v>
      </c>
      <c r="E144" s="38" t="s">
        <v>509</v>
      </c>
      <c r="F144" s="38" t="s">
        <v>144</v>
      </c>
      <c r="G144" s="38" t="b">
        <v>1</v>
      </c>
      <c r="H144" s="39">
        <v>147</v>
      </c>
      <c r="I144" s="70" t="s">
        <v>510</v>
      </c>
      <c r="J144" s="70" t="s">
        <v>510</v>
      </c>
    </row>
    <row r="145" spans="2:12">
      <c r="B145" s="39">
        <v>196</v>
      </c>
      <c r="C145" s="38" t="s">
        <v>511</v>
      </c>
      <c r="E145" s="38" t="s">
        <v>512</v>
      </c>
      <c r="F145" s="38" t="s">
        <v>144</v>
      </c>
      <c r="G145" s="38" t="b">
        <v>1</v>
      </c>
      <c r="H145" s="39">
        <v>148</v>
      </c>
      <c r="I145" s="70" t="s">
        <v>513</v>
      </c>
      <c r="J145" s="70" t="s">
        <v>513</v>
      </c>
    </row>
    <row r="146" spans="2:12">
      <c r="B146" s="39">
        <v>197</v>
      </c>
      <c r="C146" s="38" t="s">
        <v>514</v>
      </c>
      <c r="E146" s="38" t="s">
        <v>515</v>
      </c>
      <c r="F146" s="38" t="s">
        <v>144</v>
      </c>
      <c r="G146" s="38" t="b">
        <v>1</v>
      </c>
      <c r="H146" s="39">
        <v>149</v>
      </c>
      <c r="I146" s="70" t="s">
        <v>516</v>
      </c>
      <c r="J146" s="70" t="s">
        <v>516</v>
      </c>
    </row>
    <row r="147" spans="2:12">
      <c r="B147" s="39">
        <v>198</v>
      </c>
      <c r="C147" s="38" t="s">
        <v>517</v>
      </c>
      <c r="E147" s="38" t="s">
        <v>518</v>
      </c>
      <c r="F147" s="38">
        <v>2070366987</v>
      </c>
      <c r="G147" s="38" t="b">
        <v>1</v>
      </c>
      <c r="H147" s="39">
        <v>51</v>
      </c>
      <c r="I147" s="70" t="s">
        <v>519</v>
      </c>
      <c r="J147" s="70" t="s">
        <v>519</v>
      </c>
    </row>
    <row r="148" spans="2:12">
      <c r="B148" s="39">
        <v>199</v>
      </c>
      <c r="C148" s="38" t="s">
        <v>520</v>
      </c>
      <c r="E148" s="38" t="s">
        <v>521</v>
      </c>
      <c r="F148" s="38" t="s">
        <v>144</v>
      </c>
      <c r="G148" s="38" t="b">
        <v>1</v>
      </c>
      <c r="H148" s="39" t="s">
        <v>144</v>
      </c>
      <c r="I148" s="70" t="s">
        <v>522</v>
      </c>
      <c r="J148" s="70" t="s">
        <v>522</v>
      </c>
    </row>
    <row r="149" spans="2:12">
      <c r="B149" s="39">
        <v>200</v>
      </c>
      <c r="C149" s="38" t="s">
        <v>486</v>
      </c>
      <c r="E149" s="38" t="s">
        <v>487</v>
      </c>
      <c r="F149" s="38" t="s">
        <v>144</v>
      </c>
      <c r="G149" s="38" t="b">
        <v>1</v>
      </c>
      <c r="H149" s="39">
        <v>151</v>
      </c>
      <c r="I149" s="70" t="s">
        <v>523</v>
      </c>
      <c r="J149" s="70" t="s">
        <v>523</v>
      </c>
    </row>
    <row r="150" spans="2:12">
      <c r="B150" s="39">
        <v>201</v>
      </c>
      <c r="C150" s="38" t="s">
        <v>524</v>
      </c>
      <c r="E150" s="38" t="s">
        <v>525</v>
      </c>
      <c r="F150" s="38">
        <v>2080501303</v>
      </c>
      <c r="G150" s="38" t="b">
        <v>1</v>
      </c>
      <c r="H150" s="39">
        <v>49</v>
      </c>
      <c r="I150" s="70" t="s">
        <v>526</v>
      </c>
      <c r="J150" s="70" t="s">
        <v>526</v>
      </c>
    </row>
    <row r="151" spans="2:12">
      <c r="B151" s="39">
        <v>202</v>
      </c>
      <c r="C151" s="38" t="s">
        <v>527</v>
      </c>
      <c r="E151" s="38" t="s">
        <v>528</v>
      </c>
      <c r="F151" s="38" t="s">
        <v>144</v>
      </c>
      <c r="G151" s="38" t="b">
        <v>1</v>
      </c>
      <c r="H151" s="39">
        <v>153</v>
      </c>
      <c r="I151" s="72">
        <v>44202.012499999997</v>
      </c>
      <c r="J151" s="72">
        <v>44202.012499999997</v>
      </c>
      <c r="K151" s="45"/>
      <c r="L151" s="45"/>
    </row>
    <row r="152" spans="2:12">
      <c r="B152" s="39">
        <v>203</v>
      </c>
      <c r="C152" s="38" t="s">
        <v>529</v>
      </c>
      <c r="E152" s="38" t="s">
        <v>530</v>
      </c>
      <c r="F152" s="38" t="s">
        <v>144</v>
      </c>
      <c r="G152" s="38" t="b">
        <v>1</v>
      </c>
      <c r="H152" s="39">
        <v>154</v>
      </c>
      <c r="I152" s="70" t="s">
        <v>531</v>
      </c>
      <c r="J152" s="70" t="s">
        <v>531</v>
      </c>
    </row>
    <row r="153" spans="2:12">
      <c r="B153" s="39">
        <v>204</v>
      </c>
      <c r="C153" s="38" t="s">
        <v>532</v>
      </c>
      <c r="E153" s="38" t="s">
        <v>533</v>
      </c>
      <c r="F153" s="38" t="s">
        <v>144</v>
      </c>
      <c r="G153" s="38" t="b">
        <v>1</v>
      </c>
      <c r="H153" s="39">
        <v>155</v>
      </c>
      <c r="I153" s="70" t="s">
        <v>534</v>
      </c>
      <c r="J153" s="70" t="s">
        <v>534</v>
      </c>
    </row>
    <row r="154" spans="2:12">
      <c r="B154" s="39">
        <v>205</v>
      </c>
      <c r="C154" s="38" t="s">
        <v>535</v>
      </c>
      <c r="E154" s="38" t="s">
        <v>536</v>
      </c>
      <c r="F154" s="38" t="s">
        <v>144</v>
      </c>
      <c r="G154" s="38" t="b">
        <v>1</v>
      </c>
      <c r="H154" s="39">
        <v>156</v>
      </c>
      <c r="I154" s="72">
        <v>44203.336805555598</v>
      </c>
      <c r="J154" s="72">
        <v>44203.336805555598</v>
      </c>
      <c r="K154" s="45"/>
      <c r="L154" s="45"/>
    </row>
    <row r="155" spans="2:12">
      <c r="B155" s="39">
        <v>206</v>
      </c>
      <c r="C155" s="38" t="s">
        <v>537</v>
      </c>
      <c r="E155" s="38" t="s">
        <v>538</v>
      </c>
      <c r="F155" s="38" t="s">
        <v>144</v>
      </c>
      <c r="G155" s="38" t="b">
        <v>1</v>
      </c>
      <c r="H155" s="39">
        <v>157</v>
      </c>
      <c r="I155" s="72">
        <v>44446.800694444399</v>
      </c>
      <c r="J155" s="72">
        <v>44446.800694444399</v>
      </c>
      <c r="K155" s="45"/>
      <c r="L155" s="45"/>
    </row>
    <row r="156" spans="2:12">
      <c r="B156" s="39">
        <v>207</v>
      </c>
      <c r="C156" s="38" t="s">
        <v>539</v>
      </c>
      <c r="E156" s="38" t="s">
        <v>540</v>
      </c>
      <c r="F156" s="38" t="s">
        <v>144</v>
      </c>
      <c r="G156" s="38" t="b">
        <v>1</v>
      </c>
      <c r="H156" s="39">
        <v>158</v>
      </c>
      <c r="I156" s="70" t="s">
        <v>541</v>
      </c>
      <c r="J156" s="70" t="s">
        <v>541</v>
      </c>
    </row>
    <row r="157" spans="2:12">
      <c r="B157" s="39">
        <v>208</v>
      </c>
      <c r="C157" s="38" t="s">
        <v>50</v>
      </c>
      <c r="E157" s="38" t="str">
        <f>CONCATENATE(C157,"@gmail.com")</f>
        <v>Bombay masala@gmail.com</v>
      </c>
      <c r="G157" s="38" t="b">
        <v>1</v>
      </c>
      <c r="H157" s="39">
        <v>56</v>
      </c>
      <c r="I157" s="70" t="s">
        <v>542</v>
      </c>
      <c r="J157" s="70" t="s">
        <v>542</v>
      </c>
    </row>
    <row r="158" spans="2:12">
      <c r="B158" s="39">
        <v>209</v>
      </c>
      <c r="C158" s="38" t="s">
        <v>52</v>
      </c>
      <c r="E158" s="38" t="str">
        <f t="shared" ref="E158:E171" si="2">CONCATENATE(C158,"@gmail.com")</f>
        <v>Mumbai tiger@gmail.com</v>
      </c>
      <c r="G158" s="38" t="b">
        <v>1</v>
      </c>
      <c r="H158" s="39">
        <v>57</v>
      </c>
      <c r="I158" s="70" t="s">
        <v>543</v>
      </c>
      <c r="J158" s="70" t="s">
        <v>543</v>
      </c>
    </row>
    <row r="159" spans="2:12">
      <c r="B159" s="39">
        <v>210</v>
      </c>
      <c r="C159" s="38" t="s">
        <v>54</v>
      </c>
      <c r="E159" s="38" t="str">
        <f t="shared" si="2"/>
        <v>the curry spoon@gmail.com</v>
      </c>
      <c r="G159" s="38" t="b">
        <v>1</v>
      </c>
      <c r="H159" s="39">
        <v>58</v>
      </c>
      <c r="I159" s="70" t="s">
        <v>544</v>
      </c>
      <c r="J159" s="70" t="s">
        <v>544</v>
      </c>
    </row>
    <row r="160" spans="2:12">
      <c r="B160" s="39">
        <v>211</v>
      </c>
      <c r="C160" s="38" t="s">
        <v>56</v>
      </c>
      <c r="E160" s="38" t="str">
        <f t="shared" si="2"/>
        <v>Curry &amp; Ghee@gmail.com</v>
      </c>
      <c r="G160" s="38" t="b">
        <v>1</v>
      </c>
      <c r="H160" s="39">
        <v>60</v>
      </c>
      <c r="I160" s="70" t="s">
        <v>545</v>
      </c>
      <c r="J160" s="70" t="s">
        <v>545</v>
      </c>
    </row>
    <row r="161" spans="2:10">
      <c r="B161" s="39">
        <v>212</v>
      </c>
      <c r="C161" s="38" t="s">
        <v>58</v>
      </c>
      <c r="E161" s="38" t="str">
        <f t="shared" si="2"/>
        <v>Naan Palace@gmail.com</v>
      </c>
      <c r="G161" s="38" t="b">
        <v>1</v>
      </c>
      <c r="H161" s="39">
        <v>61</v>
      </c>
      <c r="I161" s="70" t="s">
        <v>546</v>
      </c>
      <c r="J161" s="70" t="s">
        <v>546</v>
      </c>
    </row>
    <row r="162" spans="2:10">
      <c r="B162" s="39">
        <v>213</v>
      </c>
      <c r="C162" s="38" t="s">
        <v>61</v>
      </c>
      <c r="E162" s="38" t="str">
        <f t="shared" si="2"/>
        <v>the paneer pot@gmail.com</v>
      </c>
      <c r="G162" s="38" t="b">
        <v>1</v>
      </c>
      <c r="H162" s="39">
        <v>62</v>
      </c>
      <c r="I162" s="70" t="s">
        <v>547</v>
      </c>
      <c r="J162" s="70" t="s">
        <v>547</v>
      </c>
    </row>
    <row r="163" spans="2:10">
      <c r="B163" s="39">
        <v>214</v>
      </c>
      <c r="C163" s="38" t="s">
        <v>64</v>
      </c>
      <c r="E163" s="38" t="str">
        <f t="shared" si="2"/>
        <v>temple of chai@gmail.com</v>
      </c>
      <c r="G163" s="38" t="b">
        <v>1</v>
      </c>
      <c r="H163" s="39">
        <v>63</v>
      </c>
      <c r="I163" s="70" t="s">
        <v>548</v>
      </c>
      <c r="J163" s="70" t="s">
        <v>548</v>
      </c>
    </row>
    <row r="164" spans="2:10">
      <c r="B164" s="39">
        <v>215</v>
      </c>
      <c r="C164" s="38" t="s">
        <v>67</v>
      </c>
      <c r="E164" s="38" t="str">
        <f t="shared" si="2"/>
        <v>Monsoon's curry@gmail.com</v>
      </c>
      <c r="G164" s="38" t="b">
        <v>1</v>
      </c>
      <c r="H164" s="39">
        <v>64</v>
      </c>
      <c r="I164" s="70" t="s">
        <v>549</v>
      </c>
      <c r="J164" s="70" t="s">
        <v>549</v>
      </c>
    </row>
    <row r="165" spans="2:10">
      <c r="B165" s="39">
        <v>216</v>
      </c>
      <c r="C165" s="38" t="s">
        <v>70</v>
      </c>
      <c r="E165" s="38" t="str">
        <f t="shared" si="2"/>
        <v>spices from brahma@gmail.com</v>
      </c>
      <c r="G165" s="38" t="b">
        <v>1</v>
      </c>
      <c r="H165" s="39">
        <v>65</v>
      </c>
      <c r="I165" s="70" t="s">
        <v>550</v>
      </c>
      <c r="J165" s="70" t="s">
        <v>550</v>
      </c>
    </row>
    <row r="166" spans="2:10">
      <c r="B166" s="39">
        <v>217</v>
      </c>
      <c r="C166" s="38" t="s">
        <v>73</v>
      </c>
      <c r="E166" s="38" t="str">
        <f t="shared" si="2"/>
        <v>the star of india@gmail.com</v>
      </c>
      <c r="G166" s="38" t="b">
        <v>1</v>
      </c>
      <c r="H166" s="39">
        <v>66</v>
      </c>
      <c r="I166" s="70" t="s">
        <v>551</v>
      </c>
      <c r="J166" s="70" t="s">
        <v>551</v>
      </c>
    </row>
    <row r="167" spans="2:10">
      <c r="B167" s="39">
        <v>218</v>
      </c>
      <c r="C167" s="38" t="s">
        <v>76</v>
      </c>
      <c r="E167" s="38" t="str">
        <f t="shared" si="2"/>
        <v>badmaash@gmail.com</v>
      </c>
      <c r="G167" s="38" t="b">
        <v>1</v>
      </c>
      <c r="H167" s="39">
        <v>67</v>
      </c>
      <c r="I167" s="70" t="s">
        <v>552</v>
      </c>
      <c r="J167" s="70" t="s">
        <v>552</v>
      </c>
    </row>
    <row r="168" spans="2:10">
      <c r="B168" s="39">
        <v>219</v>
      </c>
      <c r="C168" s="38" t="s">
        <v>79</v>
      </c>
      <c r="E168" s="38" t="str">
        <f t="shared" si="2"/>
        <v>spice room@gmail.com</v>
      </c>
      <c r="G168" s="38" t="b">
        <v>1</v>
      </c>
      <c r="H168" s="39">
        <v>68</v>
      </c>
      <c r="I168" s="70" t="s">
        <v>553</v>
      </c>
      <c r="J168" s="70" t="s">
        <v>553</v>
      </c>
    </row>
    <row r="169" spans="2:10">
      <c r="B169" s="39">
        <v>220</v>
      </c>
      <c r="C169" s="38" t="s">
        <v>82</v>
      </c>
      <c r="E169" s="38" t="str">
        <f t="shared" si="2"/>
        <v>kochi indian@gmail.com</v>
      </c>
      <c r="G169" s="38" t="b">
        <v>1</v>
      </c>
      <c r="H169" s="39">
        <v>69</v>
      </c>
      <c r="I169" s="70" t="s">
        <v>554</v>
      </c>
      <c r="J169" s="70" t="s">
        <v>554</v>
      </c>
    </row>
    <row r="170" spans="2:10">
      <c r="B170" s="39">
        <v>221</v>
      </c>
      <c r="C170" s="38" t="s">
        <v>61</v>
      </c>
      <c r="E170" s="38" t="str">
        <f t="shared" si="2"/>
        <v>the paneer pot@gmail.com</v>
      </c>
      <c r="G170" s="38" t="b">
        <v>1</v>
      </c>
      <c r="H170" s="39">
        <v>70</v>
      </c>
      <c r="I170" s="70" t="s">
        <v>555</v>
      </c>
      <c r="J170" s="70" t="s">
        <v>555</v>
      </c>
    </row>
    <row r="171" spans="2:10">
      <c r="B171" s="39">
        <v>222</v>
      </c>
      <c r="C171" s="38" t="s">
        <v>87</v>
      </c>
      <c r="E171" s="38" t="str">
        <f t="shared" si="2"/>
        <v>The bombay bread bar@gmail.com</v>
      </c>
      <c r="G171" s="38" t="b">
        <v>1</v>
      </c>
      <c r="H171" s="39">
        <v>79</v>
      </c>
      <c r="I171" s="70" t="s">
        <v>556</v>
      </c>
      <c r="J171" s="70" t="s">
        <v>556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L104"/>
  <sheetViews>
    <sheetView zoomScale="80" zoomScaleNormal="80" workbookViewId="0"/>
  </sheetViews>
  <sheetFormatPr defaultColWidth="9" defaultRowHeight="14.4"/>
  <cols>
    <col min="1" max="1" width="11.33203125" style="5" bestFit="1" customWidth="1"/>
    <col min="2" max="3" width="15.6640625" style="5" customWidth="1"/>
    <col min="4" max="4" width="11.88671875" customWidth="1"/>
    <col min="5" max="5" width="10.5546875" bestFit="1" customWidth="1"/>
    <col min="7" max="7" width="20.109375" bestFit="1" customWidth="1"/>
    <col min="8" max="8" width="13.5546875" bestFit="1" customWidth="1"/>
    <col min="9" max="9" width="12.88671875" style="5" bestFit="1" customWidth="1"/>
    <col min="10" max="10" width="17.88671875" style="5" bestFit="1" customWidth="1"/>
    <col min="11" max="11" width="17.88671875" bestFit="1" customWidth="1"/>
    <col min="12" max="12" width="18.44140625" bestFit="1" customWidth="1"/>
  </cols>
  <sheetData>
    <row r="2" spans="1:12">
      <c r="D2" s="2"/>
      <c r="E2" s="2"/>
      <c r="F2" s="2"/>
      <c r="G2" s="78" t="s">
        <v>2280</v>
      </c>
    </row>
    <row r="3" spans="1:12">
      <c r="G3" s="77">
        <v>0.06</v>
      </c>
    </row>
    <row r="4" spans="1:12">
      <c r="A4" s="11" t="s">
        <v>2041</v>
      </c>
      <c r="B4" s="11" t="s">
        <v>136</v>
      </c>
      <c r="C4" s="11" t="s">
        <v>2270</v>
      </c>
      <c r="D4" s="11" t="s">
        <v>25</v>
      </c>
      <c r="E4" s="11" t="s">
        <v>2255</v>
      </c>
      <c r="F4" s="11" t="s">
        <v>2252</v>
      </c>
      <c r="G4" s="74" t="s">
        <v>2247</v>
      </c>
      <c r="H4" s="11" t="s">
        <v>2269</v>
      </c>
      <c r="I4" s="11" t="s">
        <v>2043</v>
      </c>
      <c r="J4" s="11" t="s">
        <v>2253</v>
      </c>
      <c r="K4" s="11" t="s">
        <v>2254</v>
      </c>
      <c r="L4" s="11" t="s">
        <v>2042</v>
      </c>
    </row>
    <row r="5" spans="1:12">
      <c r="A5" s="5">
        <v>1</v>
      </c>
      <c r="B5" s="5">
        <v>38</v>
      </c>
      <c r="C5" s="5">
        <v>80</v>
      </c>
      <c r="D5" s="2">
        <v>150.72999999999999</v>
      </c>
      <c r="E5">
        <v>146.88999999999999</v>
      </c>
      <c r="F5" s="2">
        <v>40.311543682066301</v>
      </c>
      <c r="G5">
        <v>4</v>
      </c>
      <c r="H5" s="2">
        <v>23</v>
      </c>
      <c r="I5" s="5" t="b">
        <f>IF(D5=E5,TRUE,FALSE)</f>
        <v>0</v>
      </c>
      <c r="J5" s="5">
        <v>1</v>
      </c>
      <c r="K5" s="60">
        <v>45327</v>
      </c>
      <c r="L5" t="s">
        <v>3</v>
      </c>
    </row>
    <row r="6" spans="1:12">
      <c r="A6" s="5">
        <v>2</v>
      </c>
      <c r="B6" s="5">
        <v>40</v>
      </c>
      <c r="C6" s="5">
        <v>120</v>
      </c>
      <c r="D6" s="16">
        <v>474</v>
      </c>
      <c r="E6">
        <v>100</v>
      </c>
      <c r="F6" s="2">
        <f t="shared" ref="F6:F10" si="0">F5+1</f>
        <v>41.311543682066301</v>
      </c>
      <c r="G6">
        <v>5</v>
      </c>
      <c r="H6" s="2">
        <v>452.68845631793369</v>
      </c>
      <c r="I6" s="5" t="b">
        <v>1</v>
      </c>
      <c r="J6" s="5">
        <v>1</v>
      </c>
      <c r="K6" s="60">
        <v>45328</v>
      </c>
      <c r="L6" t="s">
        <v>2251</v>
      </c>
    </row>
    <row r="7" spans="1:12">
      <c r="A7" s="5">
        <v>3</v>
      </c>
      <c r="B7" s="5">
        <v>42</v>
      </c>
      <c r="C7" s="5">
        <v>480</v>
      </c>
      <c r="D7" s="16">
        <v>262</v>
      </c>
      <c r="E7">
        <v>873</v>
      </c>
      <c r="F7" s="2">
        <f t="shared" si="0"/>
        <v>42.311543682066301</v>
      </c>
      <c r="G7">
        <v>6</v>
      </c>
      <c r="H7" s="2">
        <v>452.68845631793369</v>
      </c>
      <c r="I7" s="5" t="b">
        <f t="shared" ref="I7:I13" si="1">IF(D7=E7,TRUE,FALSE)</f>
        <v>0</v>
      </c>
      <c r="J7" s="5">
        <v>1</v>
      </c>
      <c r="K7" s="60">
        <v>45329</v>
      </c>
      <c r="L7" t="s">
        <v>2251</v>
      </c>
    </row>
    <row r="8" spans="1:12">
      <c r="A8" s="5">
        <v>4</v>
      </c>
      <c r="B8" s="5">
        <v>44</v>
      </c>
      <c r="C8" s="5">
        <v>932</v>
      </c>
      <c r="D8" s="16">
        <v>105</v>
      </c>
      <c r="E8">
        <v>253</v>
      </c>
      <c r="F8" s="2">
        <f t="shared" si="0"/>
        <v>43.311543682066301</v>
      </c>
      <c r="G8">
        <v>10</v>
      </c>
      <c r="H8" s="2">
        <v>1300</v>
      </c>
      <c r="I8" s="5" t="b">
        <f t="shared" si="1"/>
        <v>0</v>
      </c>
      <c r="J8" s="5">
        <v>2</v>
      </c>
      <c r="K8" s="60">
        <v>45330</v>
      </c>
      <c r="L8" t="s">
        <v>2251</v>
      </c>
    </row>
    <row r="9" spans="1:12">
      <c r="A9" s="5">
        <v>5</v>
      </c>
      <c r="B9" s="5">
        <v>49</v>
      </c>
      <c r="C9" s="5">
        <v>100</v>
      </c>
      <c r="D9" s="16">
        <v>548</v>
      </c>
      <c r="E9">
        <v>780</v>
      </c>
      <c r="F9" s="2">
        <f t="shared" si="0"/>
        <v>44.311543682066301</v>
      </c>
      <c r="G9">
        <v>7</v>
      </c>
      <c r="H9" s="2">
        <v>452.68845631793369</v>
      </c>
      <c r="I9" s="5" t="b">
        <f t="shared" si="1"/>
        <v>0</v>
      </c>
      <c r="J9" s="5">
        <v>3</v>
      </c>
      <c r="K9" s="60">
        <v>45331</v>
      </c>
      <c r="L9" t="s">
        <v>2251</v>
      </c>
    </row>
    <row r="10" spans="1:12">
      <c r="A10" s="5">
        <v>6</v>
      </c>
      <c r="B10" s="5">
        <v>51</v>
      </c>
      <c r="D10" s="16">
        <v>567</v>
      </c>
      <c r="E10">
        <v>970</v>
      </c>
      <c r="F10" s="2">
        <f t="shared" si="0"/>
        <v>45.311543682066301</v>
      </c>
      <c r="G10">
        <v>6</v>
      </c>
      <c r="H10" s="2"/>
      <c r="I10" s="5" t="b">
        <f t="shared" si="1"/>
        <v>0</v>
      </c>
      <c r="J10" s="5">
        <v>4</v>
      </c>
      <c r="K10" s="60">
        <v>45332</v>
      </c>
      <c r="L10" t="s">
        <v>2251</v>
      </c>
    </row>
    <row r="11" spans="1:12">
      <c r="A11" s="5">
        <v>7</v>
      </c>
      <c r="B11" s="5">
        <v>52</v>
      </c>
      <c r="D11" s="16">
        <v>731</v>
      </c>
      <c r="E11">
        <v>731</v>
      </c>
      <c r="F11" s="2">
        <f>F10+1</f>
        <v>46.311543682066301</v>
      </c>
      <c r="G11">
        <v>8</v>
      </c>
      <c r="H11" s="2"/>
      <c r="I11" s="5" t="b">
        <f t="shared" si="1"/>
        <v>1</v>
      </c>
      <c r="J11" s="5">
        <v>4</v>
      </c>
      <c r="K11" s="60">
        <v>45333</v>
      </c>
      <c r="L11" t="s">
        <v>2251</v>
      </c>
    </row>
    <row r="12" spans="1:12">
      <c r="A12" s="5">
        <v>8</v>
      </c>
      <c r="B12" s="5">
        <v>53</v>
      </c>
      <c r="D12" s="16">
        <v>759</v>
      </c>
      <c r="E12">
        <v>729</v>
      </c>
      <c r="F12" s="2">
        <f t="shared" ref="F12:F75" si="2">F11+1</f>
        <v>47.311543682066301</v>
      </c>
      <c r="H12" s="2"/>
      <c r="I12" s="5" t="b">
        <f t="shared" si="1"/>
        <v>0</v>
      </c>
      <c r="J12" s="5">
        <v>4</v>
      </c>
      <c r="K12" s="60">
        <v>45334</v>
      </c>
      <c r="L12" t="s">
        <v>2251</v>
      </c>
    </row>
    <row r="13" spans="1:12">
      <c r="A13" s="5">
        <v>9</v>
      </c>
      <c r="B13" s="5">
        <v>54</v>
      </c>
      <c r="D13" s="16">
        <v>898</v>
      </c>
      <c r="E13">
        <v>524</v>
      </c>
      <c r="F13" s="2">
        <f t="shared" si="2"/>
        <v>48.311543682066301</v>
      </c>
      <c r="H13" s="2"/>
      <c r="I13" s="5" t="b">
        <f t="shared" si="1"/>
        <v>0</v>
      </c>
      <c r="J13" s="5">
        <v>5</v>
      </c>
      <c r="K13" s="60">
        <v>45335</v>
      </c>
      <c r="L13" t="s">
        <v>2251</v>
      </c>
    </row>
    <row r="14" spans="1:12">
      <c r="A14" s="5">
        <v>10</v>
      </c>
      <c r="B14" s="5">
        <v>55</v>
      </c>
      <c r="D14" s="16">
        <v>20</v>
      </c>
      <c r="E14">
        <v>538</v>
      </c>
      <c r="F14" s="2">
        <f t="shared" si="2"/>
        <v>49.311543682066301</v>
      </c>
      <c r="H14" s="2"/>
      <c r="I14" s="5" t="b">
        <f t="shared" ref="I14:I76" si="3">IF(D14=E14,TRUE,FALSE)</f>
        <v>0</v>
      </c>
      <c r="J14" s="5">
        <v>5</v>
      </c>
      <c r="K14" s="60">
        <v>45336</v>
      </c>
      <c r="L14" t="s">
        <v>2251</v>
      </c>
    </row>
    <row r="15" spans="1:12">
      <c r="A15" s="5">
        <v>11</v>
      </c>
      <c r="B15" s="5">
        <v>56</v>
      </c>
      <c r="D15" s="16">
        <v>984</v>
      </c>
      <c r="E15">
        <v>177</v>
      </c>
      <c r="F15" s="2">
        <f t="shared" si="2"/>
        <v>50.311543682066301</v>
      </c>
      <c r="H15" s="2"/>
      <c r="I15" s="5" t="b">
        <f t="shared" si="3"/>
        <v>0</v>
      </c>
      <c r="J15" s="5">
        <v>6</v>
      </c>
      <c r="K15" s="60">
        <v>45337</v>
      </c>
      <c r="L15" t="s">
        <v>2251</v>
      </c>
    </row>
    <row r="16" spans="1:12">
      <c r="A16" s="5">
        <v>12</v>
      </c>
      <c r="B16" s="5">
        <v>57</v>
      </c>
      <c r="D16" s="16">
        <v>160</v>
      </c>
      <c r="E16">
        <v>59</v>
      </c>
      <c r="F16" s="2">
        <f t="shared" si="2"/>
        <v>51.311543682066301</v>
      </c>
      <c r="G16" s="2"/>
      <c r="H16" s="2"/>
      <c r="I16" s="5" t="b">
        <f t="shared" si="3"/>
        <v>0</v>
      </c>
      <c r="J16" s="5">
        <v>7</v>
      </c>
      <c r="K16" s="60">
        <v>45338</v>
      </c>
      <c r="L16" t="s">
        <v>2251</v>
      </c>
    </row>
    <row r="17" spans="1:12">
      <c r="A17" s="5">
        <v>13</v>
      </c>
      <c r="B17" s="5">
        <v>58</v>
      </c>
      <c r="D17" s="16">
        <v>888</v>
      </c>
      <c r="E17">
        <v>888</v>
      </c>
      <c r="F17" s="2">
        <f t="shared" si="2"/>
        <v>52.311543682066301</v>
      </c>
      <c r="G17" s="2"/>
      <c r="H17" s="2"/>
      <c r="I17" s="5" t="b">
        <f t="shared" si="3"/>
        <v>1</v>
      </c>
      <c r="J17" s="5">
        <v>13</v>
      </c>
      <c r="K17" s="60">
        <v>45339</v>
      </c>
      <c r="L17" t="s">
        <v>2251</v>
      </c>
    </row>
    <row r="18" spans="1:12">
      <c r="A18" s="5">
        <v>14</v>
      </c>
      <c r="B18" s="5">
        <v>60</v>
      </c>
      <c r="D18" s="16">
        <v>644</v>
      </c>
      <c r="E18">
        <v>644</v>
      </c>
      <c r="F18" s="2">
        <f t="shared" si="2"/>
        <v>53.311543682066301</v>
      </c>
      <c r="G18" s="2"/>
      <c r="H18" s="2"/>
      <c r="I18" s="5" t="b">
        <f t="shared" si="3"/>
        <v>1</v>
      </c>
      <c r="J18" s="5">
        <v>14</v>
      </c>
      <c r="K18" s="60">
        <v>45340</v>
      </c>
      <c r="L18" t="s">
        <v>2251</v>
      </c>
    </row>
    <row r="19" spans="1:12">
      <c r="A19" s="5">
        <v>15</v>
      </c>
      <c r="B19" s="5">
        <v>61</v>
      </c>
      <c r="D19" s="16">
        <v>754</v>
      </c>
      <c r="E19">
        <v>754</v>
      </c>
      <c r="F19" s="2">
        <f t="shared" si="2"/>
        <v>54.311543682066301</v>
      </c>
      <c r="G19" s="2"/>
      <c r="H19" s="2"/>
      <c r="I19" s="5" t="b">
        <f t="shared" si="3"/>
        <v>1</v>
      </c>
      <c r="J19" s="5">
        <v>15</v>
      </c>
      <c r="K19" s="60">
        <v>45341</v>
      </c>
      <c r="L19" t="s">
        <v>2251</v>
      </c>
    </row>
    <row r="20" spans="1:12">
      <c r="A20" s="5">
        <v>16</v>
      </c>
      <c r="B20" s="5">
        <v>62</v>
      </c>
      <c r="D20" s="16">
        <v>386</v>
      </c>
      <c r="E20">
        <v>288</v>
      </c>
      <c r="F20" s="2">
        <f t="shared" si="2"/>
        <v>55.311543682066301</v>
      </c>
      <c r="G20" s="2"/>
      <c r="H20" s="2"/>
      <c r="I20" s="5" t="b">
        <f t="shared" si="3"/>
        <v>0</v>
      </c>
      <c r="J20" s="5">
        <v>16</v>
      </c>
      <c r="K20" s="60">
        <v>45342</v>
      </c>
      <c r="L20" t="s">
        <v>2251</v>
      </c>
    </row>
    <row r="21" spans="1:12">
      <c r="A21" s="5">
        <v>17</v>
      </c>
      <c r="B21" s="5">
        <v>63</v>
      </c>
      <c r="D21" s="16">
        <v>605</v>
      </c>
      <c r="E21">
        <v>691</v>
      </c>
      <c r="F21" s="2">
        <f t="shared" si="2"/>
        <v>56.311543682066301</v>
      </c>
      <c r="G21" s="2"/>
      <c r="H21" s="2"/>
      <c r="I21" s="5" t="b">
        <f t="shared" si="3"/>
        <v>0</v>
      </c>
      <c r="J21" s="5">
        <v>17</v>
      </c>
      <c r="K21" s="60">
        <v>45343</v>
      </c>
      <c r="L21" t="s">
        <v>2251</v>
      </c>
    </row>
    <row r="22" spans="1:12">
      <c r="A22" s="5">
        <v>18</v>
      </c>
      <c r="B22" s="5">
        <v>64</v>
      </c>
      <c r="D22" s="16">
        <v>734</v>
      </c>
      <c r="E22">
        <v>734</v>
      </c>
      <c r="F22" s="2">
        <f t="shared" si="2"/>
        <v>57.311543682066301</v>
      </c>
      <c r="G22" s="2"/>
      <c r="H22" s="2"/>
      <c r="I22" s="5" t="b">
        <f t="shared" si="3"/>
        <v>1</v>
      </c>
      <c r="J22" s="5">
        <v>18</v>
      </c>
      <c r="K22" s="60">
        <v>45344</v>
      </c>
      <c r="L22" t="s">
        <v>2251</v>
      </c>
    </row>
    <row r="23" spans="1:12">
      <c r="A23" s="5">
        <v>19</v>
      </c>
      <c r="B23" s="5">
        <v>65</v>
      </c>
      <c r="D23" s="16">
        <v>513</v>
      </c>
      <c r="E23">
        <v>804</v>
      </c>
      <c r="F23" s="2">
        <f t="shared" si="2"/>
        <v>58.311543682066301</v>
      </c>
      <c r="G23" s="2"/>
      <c r="H23" s="2"/>
      <c r="I23" s="5" t="b">
        <f t="shared" si="3"/>
        <v>0</v>
      </c>
      <c r="J23" s="5">
        <v>19</v>
      </c>
      <c r="K23" s="60">
        <v>45345</v>
      </c>
      <c r="L23" t="s">
        <v>2251</v>
      </c>
    </row>
    <row r="24" spans="1:12">
      <c r="A24" s="5">
        <v>20</v>
      </c>
      <c r="B24" s="5">
        <v>66</v>
      </c>
      <c r="D24" s="16">
        <v>695</v>
      </c>
      <c r="E24">
        <v>476</v>
      </c>
      <c r="F24" s="2">
        <f t="shared" si="2"/>
        <v>59.311543682066301</v>
      </c>
      <c r="G24" s="2"/>
      <c r="H24" s="2"/>
      <c r="I24" s="5" t="b">
        <f t="shared" si="3"/>
        <v>0</v>
      </c>
      <c r="J24" s="5">
        <v>20</v>
      </c>
      <c r="K24" s="60">
        <v>45346</v>
      </c>
      <c r="L24" t="s">
        <v>2251</v>
      </c>
    </row>
    <row r="25" spans="1:12">
      <c r="A25" s="5">
        <v>21</v>
      </c>
      <c r="B25" s="5">
        <v>67</v>
      </c>
      <c r="D25" s="16">
        <v>842</v>
      </c>
      <c r="E25">
        <v>299</v>
      </c>
      <c r="F25" s="2">
        <f t="shared" si="2"/>
        <v>60.311543682066301</v>
      </c>
      <c r="G25" s="2"/>
      <c r="H25" s="2"/>
      <c r="I25" s="5" t="b">
        <f t="shared" si="3"/>
        <v>0</v>
      </c>
      <c r="J25" s="5">
        <v>21</v>
      </c>
      <c r="K25" s="60">
        <v>45347</v>
      </c>
      <c r="L25" t="s">
        <v>2251</v>
      </c>
    </row>
    <row r="26" spans="1:12">
      <c r="A26" s="5">
        <v>22</v>
      </c>
      <c r="B26" s="5">
        <v>68</v>
      </c>
      <c r="D26" s="16">
        <v>122</v>
      </c>
      <c r="E26">
        <v>181</v>
      </c>
      <c r="F26" s="2">
        <f t="shared" si="2"/>
        <v>61.311543682066301</v>
      </c>
      <c r="G26" s="2"/>
      <c r="H26" s="2"/>
      <c r="I26" s="5" t="b">
        <f t="shared" si="3"/>
        <v>0</v>
      </c>
      <c r="J26" s="5">
        <v>22</v>
      </c>
      <c r="K26" s="60">
        <v>45348</v>
      </c>
      <c r="L26" t="s">
        <v>2251</v>
      </c>
    </row>
    <row r="27" spans="1:12">
      <c r="A27" s="5">
        <v>23</v>
      </c>
      <c r="B27" s="5">
        <v>69</v>
      </c>
      <c r="D27" s="16">
        <v>60</v>
      </c>
      <c r="E27">
        <v>653</v>
      </c>
      <c r="F27" s="2">
        <f t="shared" si="2"/>
        <v>62.311543682066301</v>
      </c>
      <c r="G27" s="2"/>
      <c r="H27" s="2"/>
      <c r="I27" s="5" t="b">
        <f t="shared" si="3"/>
        <v>0</v>
      </c>
      <c r="J27" s="5">
        <v>23</v>
      </c>
      <c r="K27" s="60">
        <v>45349</v>
      </c>
      <c r="L27" t="s">
        <v>2251</v>
      </c>
    </row>
    <row r="28" spans="1:12">
      <c r="A28" s="5">
        <v>24</v>
      </c>
      <c r="B28" s="5">
        <v>70</v>
      </c>
      <c r="D28" s="16">
        <v>697</v>
      </c>
      <c r="E28">
        <v>916</v>
      </c>
      <c r="F28" s="2">
        <f t="shared" si="2"/>
        <v>63.311543682066301</v>
      </c>
      <c r="G28" s="2"/>
      <c r="H28" s="2"/>
      <c r="I28" s="5" t="b">
        <f t="shared" si="3"/>
        <v>0</v>
      </c>
      <c r="J28" s="5">
        <v>24</v>
      </c>
      <c r="K28" s="60">
        <v>45350</v>
      </c>
      <c r="L28" t="s">
        <v>2251</v>
      </c>
    </row>
    <row r="29" spans="1:12">
      <c r="A29" s="5">
        <v>25</v>
      </c>
      <c r="B29" s="5">
        <v>79</v>
      </c>
      <c r="D29" s="16">
        <v>307</v>
      </c>
      <c r="E29">
        <v>315</v>
      </c>
      <c r="F29" s="2">
        <f t="shared" si="2"/>
        <v>64.311543682066301</v>
      </c>
      <c r="G29" s="2"/>
      <c r="H29" s="2"/>
      <c r="I29" s="5" t="b">
        <f t="shared" si="3"/>
        <v>0</v>
      </c>
      <c r="J29" s="5">
        <v>25</v>
      </c>
      <c r="K29" s="60">
        <v>45351</v>
      </c>
      <c r="L29" t="s">
        <v>2251</v>
      </c>
    </row>
    <row r="30" spans="1:12">
      <c r="A30" s="5">
        <v>26</v>
      </c>
      <c r="B30" s="5">
        <v>80</v>
      </c>
      <c r="D30" s="16">
        <v>525</v>
      </c>
      <c r="E30">
        <v>279</v>
      </c>
      <c r="F30" s="2">
        <f t="shared" si="2"/>
        <v>65.311543682066301</v>
      </c>
      <c r="G30" s="2"/>
      <c r="H30" s="2"/>
      <c r="I30" s="5" t="b">
        <f t="shared" si="3"/>
        <v>0</v>
      </c>
      <c r="J30" s="5">
        <v>26</v>
      </c>
      <c r="K30" s="60">
        <v>45352</v>
      </c>
      <c r="L30" t="s">
        <v>2251</v>
      </c>
    </row>
    <row r="31" spans="1:12">
      <c r="A31" s="5">
        <v>27</v>
      </c>
      <c r="B31" s="5">
        <v>82</v>
      </c>
      <c r="D31" s="16">
        <v>996</v>
      </c>
      <c r="E31">
        <v>241</v>
      </c>
      <c r="F31" s="2">
        <f t="shared" si="2"/>
        <v>66.311543682066301</v>
      </c>
      <c r="G31" s="2"/>
      <c r="H31" s="2"/>
      <c r="I31" s="5" t="b">
        <f t="shared" si="3"/>
        <v>0</v>
      </c>
      <c r="J31" s="5">
        <v>27</v>
      </c>
      <c r="K31" s="60">
        <v>45353</v>
      </c>
      <c r="L31" t="s">
        <v>2251</v>
      </c>
    </row>
    <row r="32" spans="1:12">
      <c r="A32" s="5">
        <v>28</v>
      </c>
      <c r="B32" s="5">
        <v>83</v>
      </c>
      <c r="D32" s="16">
        <v>314</v>
      </c>
      <c r="E32">
        <v>688</v>
      </c>
      <c r="F32" s="2">
        <f t="shared" si="2"/>
        <v>67.311543682066301</v>
      </c>
      <c r="G32" s="2"/>
      <c r="H32" s="2"/>
      <c r="I32" s="5" t="b">
        <f t="shared" si="3"/>
        <v>0</v>
      </c>
      <c r="J32" s="5">
        <v>28</v>
      </c>
      <c r="K32" s="60">
        <v>45354</v>
      </c>
      <c r="L32" t="s">
        <v>2251</v>
      </c>
    </row>
    <row r="33" spans="1:12">
      <c r="A33" s="5">
        <v>29</v>
      </c>
      <c r="B33" s="5">
        <v>84</v>
      </c>
      <c r="D33" s="16">
        <v>343</v>
      </c>
      <c r="E33">
        <v>68</v>
      </c>
      <c r="F33" s="2">
        <f t="shared" si="2"/>
        <v>68.311543682066301</v>
      </c>
      <c r="G33" s="2"/>
      <c r="H33" s="2"/>
      <c r="I33" s="5" t="b">
        <f t="shared" si="3"/>
        <v>0</v>
      </c>
      <c r="J33" s="5">
        <v>29</v>
      </c>
      <c r="K33" s="60">
        <v>45355</v>
      </c>
      <c r="L33" t="s">
        <v>2251</v>
      </c>
    </row>
    <row r="34" spans="1:12">
      <c r="A34" s="5">
        <v>30</v>
      </c>
      <c r="B34" s="5">
        <v>85</v>
      </c>
      <c r="D34" s="16">
        <v>277</v>
      </c>
      <c r="E34">
        <v>277</v>
      </c>
      <c r="F34" s="2">
        <f t="shared" si="2"/>
        <v>69.311543682066301</v>
      </c>
      <c r="G34" s="2"/>
      <c r="H34" s="2"/>
      <c r="I34" s="5" t="b">
        <f t="shared" si="3"/>
        <v>1</v>
      </c>
      <c r="J34" s="5">
        <v>30</v>
      </c>
      <c r="K34" s="60">
        <v>45356</v>
      </c>
      <c r="L34" t="s">
        <v>2251</v>
      </c>
    </row>
    <row r="35" spans="1:12">
      <c r="A35" s="5">
        <v>31</v>
      </c>
      <c r="B35" s="5">
        <v>86</v>
      </c>
      <c r="D35" s="16">
        <v>895</v>
      </c>
      <c r="E35">
        <v>695</v>
      </c>
      <c r="F35" s="2">
        <f t="shared" si="2"/>
        <v>70.311543682066301</v>
      </c>
      <c r="G35" s="2"/>
      <c r="H35" s="2"/>
      <c r="I35" s="5" t="b">
        <f t="shared" si="3"/>
        <v>0</v>
      </c>
      <c r="J35" s="5">
        <v>31</v>
      </c>
      <c r="K35" s="60">
        <v>45357</v>
      </c>
      <c r="L35" t="s">
        <v>2251</v>
      </c>
    </row>
    <row r="36" spans="1:12">
      <c r="A36" s="5">
        <v>32</v>
      </c>
      <c r="B36" s="5">
        <v>87</v>
      </c>
      <c r="D36" s="16">
        <v>658</v>
      </c>
      <c r="E36">
        <v>402</v>
      </c>
      <c r="F36" s="2">
        <f t="shared" si="2"/>
        <v>71.311543682066301</v>
      </c>
      <c r="G36" s="2"/>
      <c r="H36" s="2"/>
      <c r="I36" s="5" t="b">
        <f t="shared" si="3"/>
        <v>0</v>
      </c>
      <c r="J36" s="5">
        <v>32</v>
      </c>
      <c r="K36" s="60">
        <v>45358</v>
      </c>
      <c r="L36" t="s">
        <v>2251</v>
      </c>
    </row>
    <row r="37" spans="1:12">
      <c r="A37" s="5">
        <v>33</v>
      </c>
      <c r="B37" s="5">
        <v>88</v>
      </c>
      <c r="D37" s="16">
        <v>953</v>
      </c>
      <c r="E37">
        <v>322</v>
      </c>
      <c r="F37" s="2">
        <f t="shared" si="2"/>
        <v>72.311543682066301</v>
      </c>
      <c r="G37" s="2"/>
      <c r="H37" s="2"/>
      <c r="I37" s="5" t="b">
        <f t="shared" si="3"/>
        <v>0</v>
      </c>
      <c r="J37" s="5">
        <v>33</v>
      </c>
      <c r="K37" s="60">
        <v>45359</v>
      </c>
      <c r="L37" t="s">
        <v>2251</v>
      </c>
    </row>
    <row r="38" spans="1:12">
      <c r="A38" s="5">
        <v>34</v>
      </c>
      <c r="B38" s="5">
        <v>89</v>
      </c>
      <c r="D38" s="16">
        <v>701</v>
      </c>
      <c r="E38">
        <v>701</v>
      </c>
      <c r="F38" s="2">
        <f t="shared" si="2"/>
        <v>73.311543682066301</v>
      </c>
      <c r="G38" s="2"/>
      <c r="H38" s="2"/>
      <c r="I38" s="5" t="b">
        <f t="shared" si="3"/>
        <v>1</v>
      </c>
      <c r="J38" s="5">
        <v>34</v>
      </c>
      <c r="K38" s="60">
        <v>45360</v>
      </c>
      <c r="L38" t="s">
        <v>2251</v>
      </c>
    </row>
    <row r="39" spans="1:12">
      <c r="A39" s="5">
        <v>35</v>
      </c>
      <c r="B39" s="5">
        <v>90</v>
      </c>
      <c r="D39" s="16">
        <v>56</v>
      </c>
      <c r="E39">
        <v>56</v>
      </c>
      <c r="F39" s="2">
        <f t="shared" si="2"/>
        <v>74.311543682066301</v>
      </c>
      <c r="G39" s="2"/>
      <c r="H39" s="2"/>
      <c r="I39" s="5" t="b">
        <f t="shared" si="3"/>
        <v>1</v>
      </c>
      <c r="K39" s="60">
        <v>45361</v>
      </c>
      <c r="L39" t="s">
        <v>3</v>
      </c>
    </row>
    <row r="40" spans="1:12">
      <c r="A40" s="5">
        <v>36</v>
      </c>
      <c r="B40" s="5">
        <v>91</v>
      </c>
      <c r="D40" s="16">
        <v>56</v>
      </c>
      <c r="E40">
        <v>56</v>
      </c>
      <c r="F40" s="2">
        <f t="shared" si="2"/>
        <v>75.311543682066301</v>
      </c>
      <c r="G40" s="2"/>
      <c r="H40" s="2"/>
      <c r="I40" s="5" t="b">
        <f t="shared" si="3"/>
        <v>1</v>
      </c>
      <c r="K40" s="60">
        <v>45362</v>
      </c>
      <c r="L40" t="s">
        <v>3</v>
      </c>
    </row>
    <row r="41" spans="1:12">
      <c r="A41" s="5">
        <v>37</v>
      </c>
      <c r="B41" s="5">
        <v>92</v>
      </c>
      <c r="D41" s="16">
        <v>39</v>
      </c>
      <c r="E41">
        <v>39</v>
      </c>
      <c r="F41" s="2">
        <f t="shared" si="2"/>
        <v>76.311543682066301</v>
      </c>
      <c r="G41" s="2"/>
      <c r="H41" s="2"/>
      <c r="I41" s="5" t="b">
        <f t="shared" si="3"/>
        <v>1</v>
      </c>
      <c r="K41" s="60">
        <v>45363</v>
      </c>
      <c r="L41" t="s">
        <v>3</v>
      </c>
    </row>
    <row r="42" spans="1:12">
      <c r="A42" s="5">
        <v>38</v>
      </c>
      <c r="B42" s="5">
        <v>93</v>
      </c>
      <c r="D42" s="16">
        <v>446</v>
      </c>
      <c r="E42">
        <v>446</v>
      </c>
      <c r="F42" s="2">
        <f t="shared" si="2"/>
        <v>77.311543682066301</v>
      </c>
      <c r="G42" s="2"/>
      <c r="H42" s="2"/>
      <c r="I42" s="5" t="b">
        <f t="shared" si="3"/>
        <v>1</v>
      </c>
      <c r="J42" s="5">
        <v>38</v>
      </c>
      <c r="K42" s="60">
        <v>45364</v>
      </c>
      <c r="L42" t="s">
        <v>2251</v>
      </c>
    </row>
    <row r="43" spans="1:12">
      <c r="A43" s="5">
        <v>39</v>
      </c>
      <c r="B43" s="5">
        <v>94</v>
      </c>
      <c r="D43" s="16">
        <v>489</v>
      </c>
      <c r="E43">
        <v>489</v>
      </c>
      <c r="F43" s="2">
        <f t="shared" si="2"/>
        <v>78.311543682066301</v>
      </c>
      <c r="G43" s="2"/>
      <c r="H43" s="2"/>
      <c r="I43" s="5" t="b">
        <f t="shared" si="3"/>
        <v>1</v>
      </c>
      <c r="J43" s="5">
        <v>39</v>
      </c>
      <c r="K43" s="60">
        <v>45365</v>
      </c>
      <c r="L43" t="s">
        <v>2251</v>
      </c>
    </row>
    <row r="44" spans="1:12">
      <c r="A44" s="5">
        <v>40</v>
      </c>
      <c r="B44" s="5">
        <v>95</v>
      </c>
      <c r="D44" s="16">
        <v>234</v>
      </c>
      <c r="E44">
        <v>906</v>
      </c>
      <c r="F44" s="2">
        <f t="shared" si="2"/>
        <v>79.311543682066301</v>
      </c>
      <c r="G44" s="2"/>
      <c r="H44" s="2"/>
      <c r="I44" s="5" t="b">
        <f t="shared" si="3"/>
        <v>0</v>
      </c>
      <c r="J44" s="5">
        <v>40</v>
      </c>
      <c r="K44" s="60">
        <v>45366</v>
      </c>
      <c r="L44" t="s">
        <v>2251</v>
      </c>
    </row>
    <row r="45" spans="1:12">
      <c r="A45" s="5">
        <v>41</v>
      </c>
      <c r="B45" s="5">
        <v>96</v>
      </c>
      <c r="D45" s="16">
        <v>349</v>
      </c>
      <c r="E45">
        <v>672</v>
      </c>
      <c r="F45" s="2">
        <f t="shared" si="2"/>
        <v>80.311543682066301</v>
      </c>
      <c r="G45" s="2"/>
      <c r="H45" s="2"/>
      <c r="I45" s="5" t="b">
        <f t="shared" si="3"/>
        <v>0</v>
      </c>
      <c r="J45" s="5">
        <v>41</v>
      </c>
      <c r="K45" s="60">
        <v>45367</v>
      </c>
      <c r="L45" t="s">
        <v>2251</v>
      </c>
    </row>
    <row r="46" spans="1:12">
      <c r="A46" s="5">
        <v>42</v>
      </c>
      <c r="B46" s="5">
        <v>97</v>
      </c>
      <c r="D46" s="16">
        <v>476</v>
      </c>
      <c r="E46">
        <v>82</v>
      </c>
      <c r="F46" s="2">
        <f t="shared" si="2"/>
        <v>81.311543682066301</v>
      </c>
      <c r="G46" s="2"/>
      <c r="H46" s="2"/>
      <c r="I46" s="5" t="b">
        <f t="shared" si="3"/>
        <v>0</v>
      </c>
      <c r="J46" s="5">
        <v>42</v>
      </c>
      <c r="K46" s="60">
        <v>45368</v>
      </c>
      <c r="L46" t="s">
        <v>2251</v>
      </c>
    </row>
    <row r="47" spans="1:12">
      <c r="A47" s="5">
        <v>43</v>
      </c>
      <c r="B47" s="5">
        <v>98</v>
      </c>
      <c r="D47" s="16">
        <v>427</v>
      </c>
      <c r="E47">
        <v>629</v>
      </c>
      <c r="F47" s="2">
        <f t="shared" si="2"/>
        <v>82.311543682066301</v>
      </c>
      <c r="G47" s="2"/>
      <c r="H47" s="2"/>
      <c r="I47" s="5" t="b">
        <f t="shared" si="3"/>
        <v>0</v>
      </c>
      <c r="J47" s="5">
        <v>43</v>
      </c>
      <c r="K47" s="60">
        <v>45369</v>
      </c>
      <c r="L47" t="s">
        <v>2251</v>
      </c>
    </row>
    <row r="48" spans="1:12">
      <c r="A48" s="5">
        <v>44</v>
      </c>
      <c r="B48" s="5">
        <v>99</v>
      </c>
      <c r="D48" s="16">
        <v>218</v>
      </c>
      <c r="E48">
        <v>201</v>
      </c>
      <c r="F48" s="2">
        <f t="shared" si="2"/>
        <v>83.311543682066301</v>
      </c>
      <c r="G48" s="2"/>
      <c r="H48" s="2"/>
      <c r="I48" s="5" t="b">
        <f t="shared" si="3"/>
        <v>0</v>
      </c>
      <c r="J48" s="5">
        <v>44</v>
      </c>
      <c r="K48" s="60">
        <v>45370</v>
      </c>
      <c r="L48" t="s">
        <v>2251</v>
      </c>
    </row>
    <row r="49" spans="1:12">
      <c r="A49" s="5">
        <v>45</v>
      </c>
      <c r="B49" s="5">
        <v>100</v>
      </c>
      <c r="D49" s="16">
        <v>650</v>
      </c>
      <c r="E49">
        <v>12</v>
      </c>
      <c r="F49" s="2">
        <f t="shared" si="2"/>
        <v>84.311543682066301</v>
      </c>
      <c r="G49" s="2"/>
      <c r="H49" s="2"/>
      <c r="I49" s="5" t="b">
        <f t="shared" si="3"/>
        <v>0</v>
      </c>
      <c r="J49" s="5">
        <v>45</v>
      </c>
      <c r="K49" s="60">
        <v>45371</v>
      </c>
      <c r="L49" t="s">
        <v>2251</v>
      </c>
    </row>
    <row r="50" spans="1:12">
      <c r="A50" s="5">
        <v>46</v>
      </c>
      <c r="B50" s="5">
        <v>101</v>
      </c>
      <c r="D50" s="16">
        <v>130</v>
      </c>
      <c r="E50">
        <v>130</v>
      </c>
      <c r="F50" s="2">
        <f t="shared" si="2"/>
        <v>85.311543682066301</v>
      </c>
      <c r="G50" s="2"/>
      <c r="H50" s="2"/>
      <c r="I50" s="5" t="b">
        <f t="shared" si="3"/>
        <v>1</v>
      </c>
      <c r="J50" s="5">
        <v>46</v>
      </c>
      <c r="K50" s="60">
        <v>45372</v>
      </c>
      <c r="L50" t="s">
        <v>2251</v>
      </c>
    </row>
    <row r="51" spans="1:12">
      <c r="A51" s="5">
        <v>47</v>
      </c>
      <c r="B51" s="5">
        <v>102</v>
      </c>
      <c r="D51" s="16">
        <v>664</v>
      </c>
      <c r="E51">
        <v>664</v>
      </c>
      <c r="F51" s="2">
        <f t="shared" si="2"/>
        <v>86.311543682066301</v>
      </c>
      <c r="G51" s="2"/>
      <c r="H51" s="2"/>
      <c r="I51" s="5" t="b">
        <f t="shared" si="3"/>
        <v>1</v>
      </c>
      <c r="J51" s="5">
        <v>47</v>
      </c>
      <c r="K51" s="60">
        <v>45373</v>
      </c>
      <c r="L51" t="s">
        <v>2251</v>
      </c>
    </row>
    <row r="52" spans="1:12">
      <c r="A52" s="5">
        <v>48</v>
      </c>
      <c r="B52" s="5">
        <v>103</v>
      </c>
      <c r="D52" s="16">
        <v>278</v>
      </c>
      <c r="E52">
        <v>278</v>
      </c>
      <c r="F52" s="2">
        <f t="shared" si="2"/>
        <v>87.311543682066301</v>
      </c>
      <c r="G52" s="2"/>
      <c r="H52" s="2"/>
      <c r="I52" s="5" t="b">
        <f t="shared" si="3"/>
        <v>1</v>
      </c>
      <c r="J52" s="5">
        <v>48</v>
      </c>
      <c r="K52" s="60">
        <v>45374</v>
      </c>
      <c r="L52" t="s">
        <v>2251</v>
      </c>
    </row>
    <row r="53" spans="1:12">
      <c r="A53" s="5">
        <v>49</v>
      </c>
      <c r="B53" s="5">
        <v>104</v>
      </c>
      <c r="D53" s="16">
        <v>315</v>
      </c>
      <c r="E53">
        <v>315</v>
      </c>
      <c r="F53" s="2">
        <f t="shared" si="2"/>
        <v>88.311543682066301</v>
      </c>
      <c r="G53" s="2"/>
      <c r="H53" s="2"/>
      <c r="I53" s="5" t="b">
        <f t="shared" si="3"/>
        <v>1</v>
      </c>
      <c r="J53" s="5">
        <v>49</v>
      </c>
      <c r="K53" s="60">
        <v>45375</v>
      </c>
      <c r="L53" t="s">
        <v>2251</v>
      </c>
    </row>
    <row r="54" spans="1:12">
      <c r="A54" s="5">
        <v>50</v>
      </c>
      <c r="B54" s="5">
        <v>106</v>
      </c>
      <c r="D54" s="16">
        <v>733</v>
      </c>
      <c r="E54">
        <v>733</v>
      </c>
      <c r="F54" s="2">
        <f t="shared" si="2"/>
        <v>89.311543682066301</v>
      </c>
      <c r="G54" s="2"/>
      <c r="H54" s="2"/>
      <c r="I54" s="5" t="b">
        <f t="shared" si="3"/>
        <v>1</v>
      </c>
      <c r="J54" s="5">
        <v>50</v>
      </c>
      <c r="K54" s="60">
        <v>45376</v>
      </c>
      <c r="L54" t="s">
        <v>2251</v>
      </c>
    </row>
    <row r="55" spans="1:12">
      <c r="A55" s="5">
        <v>51</v>
      </c>
      <c r="B55" s="5">
        <v>107</v>
      </c>
      <c r="D55" s="16">
        <v>787</v>
      </c>
      <c r="E55">
        <v>787</v>
      </c>
      <c r="F55" s="2">
        <f t="shared" si="2"/>
        <v>90.311543682066301</v>
      </c>
      <c r="G55" s="2"/>
      <c r="H55" s="2"/>
      <c r="I55" s="5" t="b">
        <f t="shared" si="3"/>
        <v>1</v>
      </c>
      <c r="J55" s="5">
        <v>51</v>
      </c>
      <c r="K55" s="60">
        <v>45377</v>
      </c>
      <c r="L55" t="s">
        <v>2251</v>
      </c>
    </row>
    <row r="56" spans="1:12">
      <c r="A56" s="5">
        <v>52</v>
      </c>
      <c r="B56" s="5">
        <v>108</v>
      </c>
      <c r="D56" s="16">
        <v>966</v>
      </c>
      <c r="E56">
        <v>966</v>
      </c>
      <c r="F56" s="2">
        <f t="shared" si="2"/>
        <v>91.311543682066301</v>
      </c>
      <c r="G56" s="2"/>
      <c r="H56" s="2"/>
      <c r="I56" s="5" t="b">
        <f t="shared" si="3"/>
        <v>1</v>
      </c>
      <c r="J56" s="5">
        <v>52</v>
      </c>
      <c r="K56" s="60">
        <v>45378</v>
      </c>
      <c r="L56" t="s">
        <v>2251</v>
      </c>
    </row>
    <row r="57" spans="1:12">
      <c r="A57" s="5">
        <v>53</v>
      </c>
      <c r="B57" s="5">
        <v>109</v>
      </c>
      <c r="D57" s="16">
        <v>607</v>
      </c>
      <c r="E57">
        <v>607</v>
      </c>
      <c r="F57" s="2">
        <f t="shared" si="2"/>
        <v>92.311543682066301</v>
      </c>
      <c r="G57" s="2"/>
      <c r="H57" s="2"/>
      <c r="I57" s="5" t="b">
        <f t="shared" si="3"/>
        <v>1</v>
      </c>
      <c r="J57" s="5">
        <v>53</v>
      </c>
      <c r="K57" s="60">
        <v>45379</v>
      </c>
      <c r="L57" t="s">
        <v>2251</v>
      </c>
    </row>
    <row r="58" spans="1:12">
      <c r="A58" s="5">
        <v>54</v>
      </c>
      <c r="B58" s="5">
        <v>110</v>
      </c>
      <c r="D58" s="16">
        <v>435</v>
      </c>
      <c r="E58">
        <v>928</v>
      </c>
      <c r="F58" s="2">
        <f t="shared" si="2"/>
        <v>93.311543682066301</v>
      </c>
      <c r="G58" s="2"/>
      <c r="H58" s="2"/>
      <c r="I58" s="5" t="b">
        <f t="shared" si="3"/>
        <v>0</v>
      </c>
      <c r="J58" s="5">
        <v>54</v>
      </c>
      <c r="K58" s="60">
        <v>45380</v>
      </c>
      <c r="L58" t="s">
        <v>2251</v>
      </c>
    </row>
    <row r="59" spans="1:12">
      <c r="A59" s="5">
        <v>55</v>
      </c>
      <c r="B59" s="5">
        <v>112</v>
      </c>
      <c r="D59" s="16">
        <v>882</v>
      </c>
      <c r="E59">
        <v>741</v>
      </c>
      <c r="F59" s="2">
        <f t="shared" si="2"/>
        <v>94.311543682066301</v>
      </c>
      <c r="G59" s="2"/>
      <c r="H59" s="2"/>
      <c r="I59" s="5" t="b">
        <f t="shared" si="3"/>
        <v>0</v>
      </c>
      <c r="J59" s="5">
        <v>55</v>
      </c>
      <c r="K59" s="60">
        <v>45381</v>
      </c>
      <c r="L59" t="s">
        <v>2251</v>
      </c>
    </row>
    <row r="60" spans="1:12">
      <c r="A60" s="5">
        <v>56</v>
      </c>
      <c r="B60" s="5">
        <v>113</v>
      </c>
      <c r="D60" s="16">
        <v>131</v>
      </c>
      <c r="E60">
        <v>711</v>
      </c>
      <c r="F60" s="2">
        <f t="shared" si="2"/>
        <v>95.311543682066301</v>
      </c>
      <c r="G60" s="2"/>
      <c r="H60" s="2"/>
      <c r="I60" s="5" t="b">
        <f t="shared" si="3"/>
        <v>0</v>
      </c>
      <c r="J60" s="5">
        <v>56</v>
      </c>
      <c r="K60" s="60">
        <v>45382</v>
      </c>
      <c r="L60" t="s">
        <v>2251</v>
      </c>
    </row>
    <row r="61" spans="1:12">
      <c r="A61" s="5">
        <v>57</v>
      </c>
      <c r="B61" s="5">
        <v>114</v>
      </c>
      <c r="D61" s="16">
        <v>841</v>
      </c>
      <c r="E61">
        <v>596</v>
      </c>
      <c r="F61" s="2">
        <f t="shared" si="2"/>
        <v>96.311543682066301</v>
      </c>
      <c r="G61" s="2"/>
      <c r="H61" s="2"/>
      <c r="I61" s="5" t="b">
        <f t="shared" si="3"/>
        <v>0</v>
      </c>
      <c r="J61" s="5">
        <v>57</v>
      </c>
      <c r="K61" s="60">
        <v>45383</v>
      </c>
      <c r="L61" t="s">
        <v>2251</v>
      </c>
    </row>
    <row r="62" spans="1:12">
      <c r="A62" s="5">
        <v>58</v>
      </c>
      <c r="B62" s="5">
        <v>115</v>
      </c>
      <c r="D62" s="16">
        <v>765</v>
      </c>
      <c r="E62">
        <v>491</v>
      </c>
      <c r="F62" s="2">
        <f t="shared" si="2"/>
        <v>97.311543682066301</v>
      </c>
      <c r="G62" s="2"/>
      <c r="H62" s="2"/>
      <c r="I62" s="5" t="b">
        <f t="shared" si="3"/>
        <v>0</v>
      </c>
      <c r="J62" s="5">
        <v>58</v>
      </c>
      <c r="K62" s="60">
        <v>45384</v>
      </c>
      <c r="L62" t="s">
        <v>2251</v>
      </c>
    </row>
    <row r="63" spans="1:12">
      <c r="A63" s="5">
        <v>59</v>
      </c>
      <c r="B63" s="5">
        <v>116</v>
      </c>
      <c r="D63" s="16">
        <v>394</v>
      </c>
      <c r="E63">
        <v>123</v>
      </c>
      <c r="F63" s="2">
        <f t="shared" si="2"/>
        <v>98.311543682066301</v>
      </c>
      <c r="G63" s="2"/>
      <c r="H63" s="2"/>
      <c r="I63" s="5" t="b">
        <f t="shared" si="3"/>
        <v>0</v>
      </c>
      <c r="J63" s="5">
        <v>59</v>
      </c>
      <c r="K63" s="60">
        <v>45385</v>
      </c>
      <c r="L63" t="s">
        <v>2251</v>
      </c>
    </row>
    <row r="64" spans="1:12">
      <c r="A64" s="5">
        <v>60</v>
      </c>
      <c r="B64" s="5">
        <v>118</v>
      </c>
      <c r="D64" s="16">
        <v>507</v>
      </c>
      <c r="E64">
        <v>507</v>
      </c>
      <c r="F64" s="2">
        <f t="shared" si="2"/>
        <v>99.311543682066301</v>
      </c>
      <c r="G64" s="2"/>
      <c r="H64" s="2"/>
      <c r="I64" s="5" t="b">
        <f t="shared" si="3"/>
        <v>1</v>
      </c>
      <c r="J64" s="5">
        <v>60</v>
      </c>
      <c r="K64" s="60">
        <v>45386</v>
      </c>
      <c r="L64" t="s">
        <v>2251</v>
      </c>
    </row>
    <row r="65" spans="1:12">
      <c r="A65" s="5">
        <v>61</v>
      </c>
      <c r="B65" s="5">
        <v>119</v>
      </c>
      <c r="D65" s="16">
        <v>458</v>
      </c>
      <c r="E65">
        <v>458</v>
      </c>
      <c r="F65" s="2">
        <f t="shared" si="2"/>
        <v>100.3115436820663</v>
      </c>
      <c r="G65" s="2"/>
      <c r="H65" s="2"/>
      <c r="I65" s="5" t="b">
        <f t="shared" si="3"/>
        <v>1</v>
      </c>
      <c r="J65" s="5">
        <v>61</v>
      </c>
      <c r="K65" s="60">
        <v>45387</v>
      </c>
      <c r="L65" t="s">
        <v>2251</v>
      </c>
    </row>
    <row r="66" spans="1:12">
      <c r="A66" s="5">
        <v>62</v>
      </c>
      <c r="B66" s="5">
        <v>120</v>
      </c>
      <c r="D66" s="16">
        <v>19</v>
      </c>
      <c r="E66">
        <v>19</v>
      </c>
      <c r="F66" s="2">
        <f t="shared" si="2"/>
        <v>101.3115436820663</v>
      </c>
      <c r="G66" s="2"/>
      <c r="H66" s="2"/>
      <c r="I66" s="5" t="b">
        <f t="shared" si="3"/>
        <v>1</v>
      </c>
      <c r="J66" s="5">
        <v>62</v>
      </c>
      <c r="K66" s="60">
        <v>45388</v>
      </c>
      <c r="L66" t="s">
        <v>2251</v>
      </c>
    </row>
    <row r="67" spans="1:12">
      <c r="A67" s="5">
        <v>63</v>
      </c>
      <c r="B67" s="5">
        <v>121</v>
      </c>
      <c r="D67" s="16">
        <v>775</v>
      </c>
      <c r="E67">
        <v>775</v>
      </c>
      <c r="F67" s="2">
        <f t="shared" si="2"/>
        <v>102.3115436820663</v>
      </c>
      <c r="G67" s="2"/>
      <c r="H67" s="2"/>
      <c r="I67" s="5" t="b">
        <f t="shared" si="3"/>
        <v>1</v>
      </c>
      <c r="J67" s="5">
        <v>63</v>
      </c>
      <c r="K67" s="60">
        <v>45389</v>
      </c>
      <c r="L67" t="s">
        <v>2251</v>
      </c>
    </row>
    <row r="68" spans="1:12">
      <c r="A68" s="5">
        <v>64</v>
      </c>
      <c r="B68" s="5">
        <v>122</v>
      </c>
      <c r="D68" s="16">
        <v>392</v>
      </c>
      <c r="E68">
        <v>392</v>
      </c>
      <c r="F68" s="2">
        <f t="shared" si="2"/>
        <v>103.3115436820663</v>
      </c>
      <c r="G68" s="2"/>
      <c r="H68" s="2"/>
      <c r="I68" s="5" t="b">
        <f t="shared" si="3"/>
        <v>1</v>
      </c>
      <c r="J68" s="5">
        <v>64</v>
      </c>
      <c r="K68" s="60">
        <v>45390</v>
      </c>
      <c r="L68" t="s">
        <v>2251</v>
      </c>
    </row>
    <row r="69" spans="1:12">
      <c r="A69" s="5">
        <v>65</v>
      </c>
      <c r="B69" s="5">
        <v>123</v>
      </c>
      <c r="D69" s="16">
        <v>853</v>
      </c>
      <c r="E69">
        <v>853</v>
      </c>
      <c r="F69" s="2">
        <f t="shared" si="2"/>
        <v>104.3115436820663</v>
      </c>
      <c r="G69" s="2"/>
      <c r="H69" s="2"/>
      <c r="I69" s="5" t="b">
        <f t="shared" si="3"/>
        <v>1</v>
      </c>
      <c r="J69" s="5">
        <v>65</v>
      </c>
      <c r="K69" s="60">
        <v>45391</v>
      </c>
      <c r="L69" t="s">
        <v>2251</v>
      </c>
    </row>
    <row r="70" spans="1:12">
      <c r="A70" s="5">
        <v>66</v>
      </c>
      <c r="B70" s="5">
        <v>125</v>
      </c>
      <c r="D70" s="16">
        <v>702</v>
      </c>
      <c r="E70">
        <v>702</v>
      </c>
      <c r="F70" s="2">
        <f t="shared" si="2"/>
        <v>105.3115436820663</v>
      </c>
      <c r="G70" s="2"/>
      <c r="H70" s="2"/>
      <c r="I70" s="5" t="b">
        <f t="shared" si="3"/>
        <v>1</v>
      </c>
      <c r="J70" s="5">
        <v>66</v>
      </c>
      <c r="K70" s="60">
        <v>45392</v>
      </c>
      <c r="L70" t="s">
        <v>2251</v>
      </c>
    </row>
    <row r="71" spans="1:12">
      <c r="A71" s="5">
        <v>67</v>
      </c>
      <c r="B71" s="5">
        <v>126</v>
      </c>
      <c r="D71" s="16">
        <v>504</v>
      </c>
      <c r="E71">
        <v>117</v>
      </c>
      <c r="F71" s="2">
        <f t="shared" si="2"/>
        <v>106.3115436820663</v>
      </c>
      <c r="G71" s="2"/>
      <c r="H71" s="2"/>
      <c r="I71" s="5" t="b">
        <f t="shared" si="3"/>
        <v>0</v>
      </c>
      <c r="J71" s="5">
        <v>67</v>
      </c>
      <c r="K71" s="60">
        <v>45393</v>
      </c>
      <c r="L71" t="s">
        <v>2251</v>
      </c>
    </row>
    <row r="72" spans="1:12">
      <c r="A72" s="5">
        <v>68</v>
      </c>
      <c r="B72" s="5">
        <v>127</v>
      </c>
      <c r="D72" s="16">
        <v>850</v>
      </c>
      <c r="E72">
        <v>297</v>
      </c>
      <c r="F72" s="2">
        <f t="shared" si="2"/>
        <v>107.3115436820663</v>
      </c>
      <c r="G72" s="2"/>
      <c r="H72" s="2"/>
      <c r="I72" s="5" t="b">
        <f t="shared" si="3"/>
        <v>0</v>
      </c>
      <c r="J72" s="5">
        <v>68</v>
      </c>
      <c r="K72" s="60">
        <v>45394</v>
      </c>
      <c r="L72" t="s">
        <v>2251</v>
      </c>
    </row>
    <row r="73" spans="1:12">
      <c r="A73" s="5">
        <v>69</v>
      </c>
      <c r="B73" s="5">
        <v>128</v>
      </c>
      <c r="D73" s="16">
        <v>179</v>
      </c>
      <c r="E73">
        <v>394</v>
      </c>
      <c r="F73" s="2">
        <f t="shared" si="2"/>
        <v>108.3115436820663</v>
      </c>
      <c r="G73" s="2"/>
      <c r="H73" s="2"/>
      <c r="I73" s="5" t="b">
        <f t="shared" si="3"/>
        <v>0</v>
      </c>
      <c r="J73" s="5">
        <v>69</v>
      </c>
      <c r="K73" s="60">
        <v>45395</v>
      </c>
      <c r="L73" t="s">
        <v>2251</v>
      </c>
    </row>
    <row r="74" spans="1:12">
      <c r="A74" s="5">
        <v>70</v>
      </c>
      <c r="B74" s="5">
        <v>129</v>
      </c>
      <c r="D74" s="16">
        <v>255</v>
      </c>
      <c r="E74">
        <v>212</v>
      </c>
      <c r="F74" s="2">
        <f t="shared" si="2"/>
        <v>109.3115436820663</v>
      </c>
      <c r="G74" s="2"/>
      <c r="H74" s="2"/>
      <c r="I74" s="5" t="b">
        <f t="shared" si="3"/>
        <v>0</v>
      </c>
      <c r="J74" s="5">
        <v>70</v>
      </c>
      <c r="K74" s="60">
        <v>45396</v>
      </c>
      <c r="L74" t="s">
        <v>2251</v>
      </c>
    </row>
    <row r="75" spans="1:12">
      <c r="A75" s="5">
        <v>71</v>
      </c>
      <c r="B75" s="5">
        <v>131</v>
      </c>
      <c r="D75" s="16">
        <v>133</v>
      </c>
      <c r="E75">
        <v>133</v>
      </c>
      <c r="F75" s="2">
        <f t="shared" si="2"/>
        <v>110.3115436820663</v>
      </c>
      <c r="G75" s="2"/>
      <c r="H75" s="2"/>
      <c r="I75" s="5" t="b">
        <f t="shared" si="3"/>
        <v>1</v>
      </c>
      <c r="K75" s="60">
        <v>45397</v>
      </c>
      <c r="L75" t="s">
        <v>3</v>
      </c>
    </row>
    <row r="76" spans="1:12">
      <c r="A76" s="5">
        <v>72</v>
      </c>
      <c r="B76" s="5">
        <v>132</v>
      </c>
      <c r="D76" s="16">
        <v>195</v>
      </c>
      <c r="E76">
        <v>195</v>
      </c>
      <c r="F76" s="2">
        <f t="shared" ref="F76:F104" si="4">F75+1</f>
        <v>111.3115436820663</v>
      </c>
      <c r="G76" s="2"/>
      <c r="H76" s="2"/>
      <c r="I76" s="5" t="b">
        <f t="shared" si="3"/>
        <v>1</v>
      </c>
      <c r="K76" s="60">
        <v>45398</v>
      </c>
      <c r="L76" t="s">
        <v>3</v>
      </c>
    </row>
    <row r="77" spans="1:12">
      <c r="A77" s="5">
        <v>73</v>
      </c>
      <c r="B77" s="5">
        <v>135</v>
      </c>
      <c r="D77" s="16">
        <v>675</v>
      </c>
      <c r="E77">
        <v>675</v>
      </c>
      <c r="F77" s="2">
        <f t="shared" si="4"/>
        <v>112.3115436820663</v>
      </c>
      <c r="G77" s="2"/>
      <c r="H77" s="2"/>
      <c r="I77" s="5" t="b">
        <f t="shared" ref="I77:I104" si="5">IF(D77=E77,TRUE,FALSE)</f>
        <v>1</v>
      </c>
      <c r="K77" s="60">
        <v>45399</v>
      </c>
      <c r="L77" t="s">
        <v>3</v>
      </c>
    </row>
    <row r="78" spans="1:12">
      <c r="A78" s="5">
        <v>74</v>
      </c>
      <c r="B78" s="5">
        <v>136</v>
      </c>
      <c r="D78" s="16">
        <v>925</v>
      </c>
      <c r="E78">
        <v>925</v>
      </c>
      <c r="F78" s="2">
        <f t="shared" si="4"/>
        <v>113.3115436820663</v>
      </c>
      <c r="G78" s="2"/>
      <c r="H78" s="2"/>
      <c r="I78" s="5" t="b">
        <f t="shared" si="5"/>
        <v>1</v>
      </c>
      <c r="K78" s="60">
        <v>45400</v>
      </c>
      <c r="L78" t="s">
        <v>3</v>
      </c>
    </row>
    <row r="79" spans="1:12">
      <c r="A79" s="5">
        <v>75</v>
      </c>
      <c r="B79" s="5">
        <v>137</v>
      </c>
      <c r="D79" s="16">
        <v>993</v>
      </c>
      <c r="E79">
        <v>993</v>
      </c>
      <c r="F79" s="2">
        <f t="shared" si="4"/>
        <v>114.3115436820663</v>
      </c>
      <c r="G79" s="2"/>
      <c r="H79" s="2"/>
      <c r="I79" s="5" t="b">
        <f t="shared" si="5"/>
        <v>1</v>
      </c>
      <c r="K79" s="60">
        <v>45401</v>
      </c>
      <c r="L79" t="s">
        <v>3</v>
      </c>
    </row>
    <row r="80" spans="1:12">
      <c r="A80" s="5">
        <v>76</v>
      </c>
      <c r="B80" s="5">
        <v>138</v>
      </c>
      <c r="D80" s="16">
        <v>497</v>
      </c>
      <c r="E80">
        <v>497</v>
      </c>
      <c r="F80" s="2">
        <f t="shared" si="4"/>
        <v>115.3115436820663</v>
      </c>
      <c r="G80" s="2"/>
      <c r="H80" s="2"/>
      <c r="I80" s="5" t="b">
        <f t="shared" si="5"/>
        <v>1</v>
      </c>
      <c r="K80" s="60">
        <v>45402</v>
      </c>
      <c r="L80" t="s">
        <v>3</v>
      </c>
    </row>
    <row r="81" spans="1:12">
      <c r="A81" s="5">
        <v>77</v>
      </c>
      <c r="B81" s="5">
        <v>139</v>
      </c>
      <c r="D81" s="16">
        <v>299</v>
      </c>
      <c r="E81">
        <v>299</v>
      </c>
      <c r="F81" s="2">
        <f t="shared" si="4"/>
        <v>116.3115436820663</v>
      </c>
      <c r="G81" s="2"/>
      <c r="H81" s="2"/>
      <c r="I81" s="5" t="b">
        <f t="shared" si="5"/>
        <v>1</v>
      </c>
      <c r="K81" s="60">
        <v>45403</v>
      </c>
      <c r="L81" t="s">
        <v>3</v>
      </c>
    </row>
    <row r="82" spans="1:12">
      <c r="A82" s="5">
        <v>78</v>
      </c>
      <c r="B82" s="5">
        <v>140</v>
      </c>
      <c r="D82" s="16">
        <v>669</v>
      </c>
      <c r="E82">
        <v>669</v>
      </c>
      <c r="F82" s="2">
        <f t="shared" si="4"/>
        <v>117.3115436820663</v>
      </c>
      <c r="G82" s="2"/>
      <c r="H82" s="2"/>
      <c r="I82" s="5" t="b">
        <f t="shared" si="5"/>
        <v>1</v>
      </c>
      <c r="K82" s="60">
        <v>45404</v>
      </c>
      <c r="L82" t="s">
        <v>3</v>
      </c>
    </row>
    <row r="83" spans="1:12">
      <c r="A83" s="5">
        <v>79</v>
      </c>
      <c r="B83" s="5">
        <v>141</v>
      </c>
      <c r="D83" s="16">
        <v>616</v>
      </c>
      <c r="E83">
        <v>616</v>
      </c>
      <c r="F83" s="2">
        <f t="shared" si="4"/>
        <v>118.3115436820663</v>
      </c>
      <c r="G83" s="2"/>
      <c r="H83" s="2"/>
      <c r="I83" s="5" t="b">
        <f t="shared" si="5"/>
        <v>1</v>
      </c>
      <c r="K83" s="60">
        <v>45405</v>
      </c>
      <c r="L83" t="s">
        <v>3</v>
      </c>
    </row>
    <row r="84" spans="1:12">
      <c r="A84" s="5">
        <v>80</v>
      </c>
      <c r="B84" s="5">
        <v>142</v>
      </c>
      <c r="D84" s="16">
        <v>67</v>
      </c>
      <c r="E84">
        <v>67</v>
      </c>
      <c r="F84" s="2">
        <f t="shared" si="4"/>
        <v>119.3115436820663</v>
      </c>
      <c r="G84" s="2"/>
      <c r="H84" s="2"/>
      <c r="I84" s="5" t="b">
        <f t="shared" si="5"/>
        <v>1</v>
      </c>
      <c r="K84" s="60">
        <v>45406</v>
      </c>
      <c r="L84" t="s">
        <v>3</v>
      </c>
    </row>
    <row r="85" spans="1:12">
      <c r="A85" s="5">
        <v>81</v>
      </c>
      <c r="B85" s="5">
        <v>143</v>
      </c>
      <c r="D85" s="16">
        <v>954</v>
      </c>
      <c r="E85">
        <v>954</v>
      </c>
      <c r="F85" s="2">
        <f t="shared" si="4"/>
        <v>120.3115436820663</v>
      </c>
      <c r="G85" s="2"/>
      <c r="H85" s="2"/>
      <c r="I85" s="5" t="b">
        <f t="shared" si="5"/>
        <v>1</v>
      </c>
      <c r="K85" s="60">
        <v>45407</v>
      </c>
      <c r="L85" t="s">
        <v>3</v>
      </c>
    </row>
    <row r="86" spans="1:12">
      <c r="A86" s="5">
        <v>82</v>
      </c>
      <c r="B86" s="5">
        <v>144</v>
      </c>
      <c r="D86" s="16">
        <v>328</v>
      </c>
      <c r="E86">
        <v>328</v>
      </c>
      <c r="F86" s="2">
        <f t="shared" si="4"/>
        <v>121.3115436820663</v>
      </c>
      <c r="G86" s="2"/>
      <c r="H86" s="2"/>
      <c r="I86" s="5" t="b">
        <f t="shared" si="5"/>
        <v>1</v>
      </c>
      <c r="J86" s="5">
        <v>82</v>
      </c>
      <c r="K86" s="60">
        <v>45408</v>
      </c>
      <c r="L86" t="s">
        <v>2251</v>
      </c>
    </row>
    <row r="87" spans="1:12">
      <c r="A87" s="5">
        <v>83</v>
      </c>
      <c r="B87" s="5">
        <v>145</v>
      </c>
      <c r="D87" s="16">
        <v>737</v>
      </c>
      <c r="E87">
        <v>737</v>
      </c>
      <c r="F87" s="2">
        <f t="shared" si="4"/>
        <v>122.3115436820663</v>
      </c>
      <c r="G87" s="2"/>
      <c r="H87" s="2"/>
      <c r="I87" s="5" t="b">
        <f t="shared" si="5"/>
        <v>1</v>
      </c>
      <c r="J87" s="5">
        <v>83</v>
      </c>
      <c r="K87" s="60">
        <v>45409</v>
      </c>
      <c r="L87" t="s">
        <v>2251</v>
      </c>
    </row>
    <row r="88" spans="1:12">
      <c r="A88" s="5">
        <v>84</v>
      </c>
      <c r="B88" s="5">
        <v>147</v>
      </c>
      <c r="D88" s="16">
        <v>809</v>
      </c>
      <c r="E88">
        <v>809</v>
      </c>
      <c r="F88" s="2">
        <f t="shared" si="4"/>
        <v>123.3115436820663</v>
      </c>
      <c r="G88" s="2"/>
      <c r="H88" s="2"/>
      <c r="I88" s="5" t="b">
        <f t="shared" si="5"/>
        <v>1</v>
      </c>
      <c r="J88" s="5">
        <v>84</v>
      </c>
      <c r="K88" s="60">
        <v>45410</v>
      </c>
      <c r="L88" t="s">
        <v>2251</v>
      </c>
    </row>
    <row r="89" spans="1:12">
      <c r="A89" s="5">
        <v>85</v>
      </c>
      <c r="B89" s="5">
        <v>148</v>
      </c>
      <c r="D89" s="16">
        <v>145</v>
      </c>
      <c r="E89">
        <v>145</v>
      </c>
      <c r="F89" s="2">
        <f t="shared" si="4"/>
        <v>124.3115436820663</v>
      </c>
      <c r="G89" s="2"/>
      <c r="H89" s="2"/>
      <c r="I89" s="5" t="b">
        <f t="shared" si="5"/>
        <v>1</v>
      </c>
      <c r="J89" s="5">
        <v>85</v>
      </c>
      <c r="K89" s="60">
        <v>45411</v>
      </c>
      <c r="L89" t="s">
        <v>2251</v>
      </c>
    </row>
    <row r="90" spans="1:12">
      <c r="A90" s="5">
        <v>86</v>
      </c>
      <c r="B90" s="5">
        <v>149</v>
      </c>
      <c r="D90" s="16">
        <v>251</v>
      </c>
      <c r="E90">
        <v>251</v>
      </c>
      <c r="F90" s="2">
        <f t="shared" si="4"/>
        <v>125.3115436820663</v>
      </c>
      <c r="G90" s="2"/>
      <c r="H90" s="2"/>
      <c r="I90" s="5" t="b">
        <f t="shared" si="5"/>
        <v>1</v>
      </c>
      <c r="J90" s="5">
        <v>86</v>
      </c>
      <c r="K90" s="60">
        <v>45412</v>
      </c>
      <c r="L90" t="s">
        <v>2251</v>
      </c>
    </row>
    <row r="91" spans="1:12">
      <c r="A91" s="5">
        <v>87</v>
      </c>
      <c r="B91" s="5">
        <v>151</v>
      </c>
      <c r="D91" s="16">
        <v>432</v>
      </c>
      <c r="E91">
        <v>432</v>
      </c>
      <c r="F91" s="2">
        <f t="shared" si="4"/>
        <v>126.3115436820663</v>
      </c>
      <c r="G91" s="2"/>
      <c r="H91" s="2"/>
      <c r="I91" s="5" t="b">
        <f t="shared" si="5"/>
        <v>1</v>
      </c>
      <c r="J91" s="5">
        <v>87</v>
      </c>
      <c r="K91" s="60">
        <v>45413</v>
      </c>
      <c r="L91" t="s">
        <v>2251</v>
      </c>
    </row>
    <row r="92" spans="1:12">
      <c r="A92" s="5">
        <v>88</v>
      </c>
      <c r="B92" s="5">
        <v>152</v>
      </c>
      <c r="D92" s="16">
        <v>912</v>
      </c>
      <c r="E92">
        <v>912</v>
      </c>
      <c r="F92" s="2">
        <f t="shared" si="4"/>
        <v>127.3115436820663</v>
      </c>
      <c r="G92" s="2"/>
      <c r="H92" s="2"/>
      <c r="I92" s="5" t="b">
        <f t="shared" si="5"/>
        <v>1</v>
      </c>
      <c r="J92" s="5">
        <v>88</v>
      </c>
      <c r="K92" s="60">
        <v>45414</v>
      </c>
      <c r="L92" t="s">
        <v>2251</v>
      </c>
    </row>
    <row r="93" spans="1:12">
      <c r="A93" s="5">
        <v>89</v>
      </c>
      <c r="B93" s="5">
        <v>153</v>
      </c>
      <c r="D93" s="16">
        <v>467</v>
      </c>
      <c r="E93">
        <v>40</v>
      </c>
      <c r="F93" s="2">
        <f t="shared" si="4"/>
        <v>128.31154368206631</v>
      </c>
      <c r="G93" s="2"/>
      <c r="H93" s="2"/>
      <c r="I93" s="5" t="b">
        <f t="shared" si="5"/>
        <v>0</v>
      </c>
      <c r="J93" s="5">
        <v>89</v>
      </c>
      <c r="K93" s="60">
        <v>45415</v>
      </c>
      <c r="L93" t="s">
        <v>2251</v>
      </c>
    </row>
    <row r="94" spans="1:12">
      <c r="A94" s="5">
        <v>90</v>
      </c>
      <c r="B94" s="5">
        <v>154</v>
      </c>
      <c r="D94" s="16">
        <v>703</v>
      </c>
      <c r="E94">
        <v>29</v>
      </c>
      <c r="F94" s="2">
        <f t="shared" si="4"/>
        <v>129.31154368206631</v>
      </c>
      <c r="G94" s="2"/>
      <c r="H94" s="2"/>
      <c r="I94" s="5" t="b">
        <f t="shared" si="5"/>
        <v>0</v>
      </c>
      <c r="J94" s="5">
        <v>90</v>
      </c>
      <c r="K94" s="60">
        <v>45416</v>
      </c>
      <c r="L94" t="s">
        <v>2251</v>
      </c>
    </row>
    <row r="95" spans="1:12">
      <c r="A95" s="5">
        <v>91</v>
      </c>
      <c r="B95" s="5">
        <v>155</v>
      </c>
      <c r="D95" s="16">
        <v>124</v>
      </c>
      <c r="E95">
        <v>942</v>
      </c>
      <c r="F95" s="2">
        <f t="shared" si="4"/>
        <v>130.31154368206631</v>
      </c>
      <c r="G95" s="2"/>
      <c r="H95" s="2"/>
      <c r="I95" s="5" t="b">
        <f t="shared" si="5"/>
        <v>0</v>
      </c>
      <c r="J95" s="5">
        <v>91</v>
      </c>
      <c r="K95" s="60">
        <v>45417</v>
      </c>
      <c r="L95" t="s">
        <v>2251</v>
      </c>
    </row>
    <row r="96" spans="1:12">
      <c r="A96" s="5">
        <v>92</v>
      </c>
      <c r="B96" s="5">
        <v>156</v>
      </c>
      <c r="D96" s="16">
        <v>37</v>
      </c>
      <c r="E96">
        <v>50</v>
      </c>
      <c r="F96" s="2">
        <f t="shared" si="4"/>
        <v>131.31154368206631</v>
      </c>
      <c r="G96" s="2"/>
      <c r="H96" s="2"/>
      <c r="I96" s="5" t="b">
        <f t="shared" si="5"/>
        <v>0</v>
      </c>
      <c r="J96" s="5">
        <v>92</v>
      </c>
      <c r="K96" s="60">
        <v>45418</v>
      </c>
      <c r="L96" t="s">
        <v>2251</v>
      </c>
    </row>
    <row r="97" spans="1:12">
      <c r="A97" s="5">
        <v>93</v>
      </c>
      <c r="B97" s="5">
        <v>157</v>
      </c>
      <c r="D97" s="16">
        <v>110</v>
      </c>
      <c r="E97">
        <v>286</v>
      </c>
      <c r="F97" s="2">
        <f t="shared" si="4"/>
        <v>132.31154368206631</v>
      </c>
      <c r="G97" s="2"/>
      <c r="H97" s="2"/>
      <c r="I97" s="5" t="b">
        <f t="shared" si="5"/>
        <v>0</v>
      </c>
      <c r="J97" s="5">
        <v>93</v>
      </c>
      <c r="K97" s="60">
        <v>45419</v>
      </c>
      <c r="L97" t="s">
        <v>2251</v>
      </c>
    </row>
    <row r="98" spans="1:12">
      <c r="A98" s="5">
        <v>94</v>
      </c>
      <c r="B98" s="5">
        <v>158</v>
      </c>
      <c r="D98" s="16">
        <v>342</v>
      </c>
      <c r="E98">
        <v>163</v>
      </c>
      <c r="F98" s="2">
        <f t="shared" si="4"/>
        <v>133.31154368206631</v>
      </c>
      <c r="G98" s="2"/>
      <c r="H98" s="2"/>
      <c r="I98" s="5" t="b">
        <f t="shared" si="5"/>
        <v>0</v>
      </c>
      <c r="J98" s="5">
        <v>94</v>
      </c>
      <c r="K98" s="60">
        <v>45420</v>
      </c>
      <c r="L98" t="s">
        <v>2251</v>
      </c>
    </row>
    <row r="99" spans="1:12">
      <c r="A99" s="5">
        <v>95</v>
      </c>
      <c r="B99" s="5">
        <v>56</v>
      </c>
      <c r="D99" s="16">
        <v>283</v>
      </c>
      <c r="E99">
        <v>168</v>
      </c>
      <c r="F99" s="2">
        <f t="shared" si="4"/>
        <v>134.31154368206631</v>
      </c>
      <c r="G99" s="2"/>
      <c r="H99" s="2"/>
      <c r="I99" s="5" t="b">
        <f t="shared" si="5"/>
        <v>0</v>
      </c>
      <c r="J99" s="5">
        <v>95</v>
      </c>
      <c r="K99" s="60">
        <v>45421</v>
      </c>
      <c r="L99" t="s">
        <v>2251</v>
      </c>
    </row>
    <row r="100" spans="1:12">
      <c r="A100" s="5">
        <v>96</v>
      </c>
      <c r="B100" s="5">
        <v>43</v>
      </c>
      <c r="D100" s="16">
        <v>10</v>
      </c>
      <c r="E100">
        <v>19</v>
      </c>
      <c r="F100" s="2">
        <f t="shared" si="4"/>
        <v>135.31154368206631</v>
      </c>
      <c r="G100" s="2"/>
      <c r="H100" s="2"/>
      <c r="I100" s="5" t="b">
        <f t="shared" si="5"/>
        <v>0</v>
      </c>
      <c r="J100" s="5">
        <v>96</v>
      </c>
      <c r="K100" s="60">
        <v>45422</v>
      </c>
      <c r="L100" t="s">
        <v>2251</v>
      </c>
    </row>
    <row r="101" spans="1:12">
      <c r="A101" s="5">
        <v>97</v>
      </c>
      <c r="B101" s="5">
        <v>34</v>
      </c>
      <c r="D101" s="16">
        <v>89</v>
      </c>
      <c r="E101">
        <v>272</v>
      </c>
      <c r="F101" s="2">
        <f t="shared" si="4"/>
        <v>136.31154368206631</v>
      </c>
      <c r="G101" s="2"/>
      <c r="H101" s="2"/>
      <c r="I101" s="5" t="b">
        <f t="shared" si="5"/>
        <v>0</v>
      </c>
      <c r="J101" s="5">
        <v>97</v>
      </c>
      <c r="K101" s="60">
        <v>45423</v>
      </c>
      <c r="L101" t="s">
        <v>2251</v>
      </c>
    </row>
    <row r="102" spans="1:12">
      <c r="A102" s="5">
        <v>98</v>
      </c>
      <c r="B102" s="5">
        <v>12</v>
      </c>
      <c r="D102" s="16">
        <v>353</v>
      </c>
      <c r="E102">
        <v>826</v>
      </c>
      <c r="F102" s="2">
        <f t="shared" si="4"/>
        <v>137.31154368206631</v>
      </c>
      <c r="G102" s="2"/>
      <c r="H102" s="2"/>
      <c r="I102" s="5" t="b">
        <f t="shared" si="5"/>
        <v>0</v>
      </c>
      <c r="J102" s="5">
        <v>98</v>
      </c>
      <c r="K102" s="60">
        <v>45424</v>
      </c>
      <c r="L102" t="s">
        <v>2251</v>
      </c>
    </row>
    <row r="103" spans="1:12">
      <c r="A103" s="5">
        <v>99</v>
      </c>
      <c r="B103" s="5">
        <v>3</v>
      </c>
      <c r="D103" s="16">
        <v>597</v>
      </c>
      <c r="E103">
        <v>163</v>
      </c>
      <c r="F103" s="2">
        <f t="shared" si="4"/>
        <v>138.31154368206631</v>
      </c>
      <c r="G103" s="2"/>
      <c r="H103" s="2"/>
      <c r="I103" s="5" t="b">
        <f t="shared" si="5"/>
        <v>0</v>
      </c>
      <c r="J103" s="5">
        <v>99</v>
      </c>
      <c r="K103" s="60">
        <v>45425</v>
      </c>
      <c r="L103" t="s">
        <v>2251</v>
      </c>
    </row>
    <row r="104" spans="1:12">
      <c r="A104" s="5">
        <v>100</v>
      </c>
      <c r="B104" s="5">
        <v>49</v>
      </c>
      <c r="D104" s="16">
        <v>628</v>
      </c>
      <c r="E104">
        <v>826</v>
      </c>
      <c r="F104" s="2">
        <f t="shared" si="4"/>
        <v>139.31154368206631</v>
      </c>
      <c r="G104" s="2"/>
      <c r="H104" s="2"/>
      <c r="I104" s="5" t="b">
        <f t="shared" si="5"/>
        <v>0</v>
      </c>
      <c r="J104" s="5">
        <v>100</v>
      </c>
      <c r="K104" s="60">
        <v>45426</v>
      </c>
      <c r="L104" t="s">
        <v>2251</v>
      </c>
    </row>
  </sheetData>
  <autoFilter ref="I4:L104" xr:uid="{00000000-0001-0000-1400-000000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5"/>
  <sheetViews>
    <sheetView workbookViewId="0"/>
  </sheetViews>
  <sheetFormatPr defaultColWidth="9" defaultRowHeight="14.4"/>
  <cols>
    <col min="1" max="1" width="2.44140625" bestFit="1" customWidth="1"/>
    <col min="2" max="2" width="16.33203125" bestFit="1" customWidth="1"/>
    <col min="3" max="3" width="14.109375" customWidth="1"/>
    <col min="4" max="5" width="16.6640625" customWidth="1"/>
  </cols>
  <sheetData>
    <row r="1" spans="1:5">
      <c r="A1" s="21" t="s">
        <v>130</v>
      </c>
      <c r="B1" s="21" t="s">
        <v>557</v>
      </c>
      <c r="C1" s="21" t="s">
        <v>558</v>
      </c>
      <c r="D1" s="21" t="s">
        <v>559</v>
      </c>
      <c r="E1" s="21" t="s">
        <v>560</v>
      </c>
    </row>
    <row r="2" spans="1:5">
      <c r="A2" s="22">
        <v>1</v>
      </c>
      <c r="B2" s="22" t="s">
        <v>2248</v>
      </c>
      <c r="C2" s="22" t="s">
        <v>561</v>
      </c>
      <c r="D2" s="22" t="s">
        <v>562</v>
      </c>
      <c r="E2" s="22" t="s">
        <v>562</v>
      </c>
    </row>
    <row r="3" spans="1:5">
      <c r="A3" s="22">
        <v>2</v>
      </c>
      <c r="B3" s="22" t="s">
        <v>2249</v>
      </c>
      <c r="C3" s="22" t="s">
        <v>561</v>
      </c>
      <c r="D3" s="22" t="s">
        <v>563</v>
      </c>
      <c r="E3" s="22" t="s">
        <v>563</v>
      </c>
    </row>
    <row r="4" spans="1:5">
      <c r="A4" s="22">
        <v>3</v>
      </c>
      <c r="B4" s="22" t="s">
        <v>2250</v>
      </c>
      <c r="C4" s="22" t="s">
        <v>561</v>
      </c>
      <c r="D4" s="22" t="s">
        <v>564</v>
      </c>
      <c r="E4" s="22" t="s">
        <v>564</v>
      </c>
    </row>
    <row r="5" spans="1:5">
      <c r="A5" s="22">
        <v>5</v>
      </c>
      <c r="B5" s="22" t="s">
        <v>12</v>
      </c>
      <c r="C5" s="22" t="s">
        <v>565</v>
      </c>
      <c r="D5" s="36">
        <v>43746.762499999997</v>
      </c>
      <c r="E5" s="37">
        <v>43746.762499999997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3:D12"/>
  <sheetViews>
    <sheetView zoomScaleNormal="115" workbookViewId="0"/>
  </sheetViews>
  <sheetFormatPr defaultColWidth="9" defaultRowHeight="14.4"/>
  <cols>
    <col min="2" max="2" width="14.44140625" style="5" customWidth="1"/>
    <col min="3" max="3" width="24.33203125" customWidth="1"/>
    <col min="4" max="4" width="17" customWidth="1"/>
  </cols>
  <sheetData>
    <row r="3" spans="2:4">
      <c r="B3" s="11" t="s">
        <v>566</v>
      </c>
      <c r="C3" s="1" t="s">
        <v>567</v>
      </c>
      <c r="D3" s="1" t="s">
        <v>568</v>
      </c>
    </row>
    <row r="4" spans="2:4">
      <c r="B4" s="5">
        <v>1</v>
      </c>
      <c r="C4" s="16" t="s">
        <v>123</v>
      </c>
      <c r="D4" t="s">
        <v>122</v>
      </c>
    </row>
    <row r="5" spans="2:4">
      <c r="B5" s="5">
        <v>2</v>
      </c>
      <c r="C5" s="16" t="s">
        <v>569</v>
      </c>
      <c r="D5" t="s">
        <v>121</v>
      </c>
    </row>
    <row r="6" spans="2:4">
      <c r="B6" s="5">
        <v>3</v>
      </c>
      <c r="C6" s="16" t="s">
        <v>21</v>
      </c>
      <c r="D6" t="s">
        <v>570</v>
      </c>
    </row>
    <row r="7" spans="2:4">
      <c r="B7" s="5">
        <v>4</v>
      </c>
      <c r="C7" s="16" t="s">
        <v>571</v>
      </c>
      <c r="D7" t="s">
        <v>572</v>
      </c>
    </row>
    <row r="8" spans="2:4">
      <c r="B8" s="5">
        <v>5</v>
      </c>
      <c r="C8" s="16" t="s">
        <v>573</v>
      </c>
      <c r="D8" t="s">
        <v>574</v>
      </c>
    </row>
    <row r="9" spans="2:4">
      <c r="B9" s="5">
        <v>6</v>
      </c>
      <c r="C9" s="16" t="s">
        <v>575</v>
      </c>
      <c r="D9" t="s">
        <v>576</v>
      </c>
    </row>
    <row r="10" spans="2:4">
      <c r="B10" s="5">
        <v>7</v>
      </c>
      <c r="C10" s="16" t="s">
        <v>577</v>
      </c>
      <c r="D10" t="s">
        <v>578</v>
      </c>
    </row>
    <row r="11" spans="2:4">
      <c r="B11" s="5">
        <v>8</v>
      </c>
      <c r="C11" s="16" t="s">
        <v>579</v>
      </c>
      <c r="D11" t="s">
        <v>580</v>
      </c>
    </row>
    <row r="12" spans="2:4">
      <c r="B12" s="5">
        <v>9</v>
      </c>
      <c r="C12" s="16" t="s">
        <v>581</v>
      </c>
      <c r="D12" t="s">
        <v>582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50"/>
  <sheetViews>
    <sheetView workbookViewId="0"/>
  </sheetViews>
  <sheetFormatPr defaultColWidth="9" defaultRowHeight="14.4"/>
  <cols>
    <col min="1" max="1" width="4.6640625" bestFit="1" customWidth="1"/>
    <col min="2" max="2" width="9.6640625" bestFit="1" customWidth="1"/>
    <col min="3" max="3" width="18.88671875" customWidth="1"/>
    <col min="4" max="4" width="12.33203125" customWidth="1"/>
    <col min="5" max="5" width="39.44140625" customWidth="1"/>
  </cols>
  <sheetData>
    <row r="1" spans="1:5">
      <c r="A1" s="23" t="s">
        <v>868</v>
      </c>
      <c r="B1" s="24" t="s">
        <v>869</v>
      </c>
      <c r="C1" s="24" t="s">
        <v>870</v>
      </c>
      <c r="D1" s="23" t="s">
        <v>871</v>
      </c>
      <c r="E1" s="23" t="s">
        <v>872</v>
      </c>
    </row>
    <row r="2" spans="1:5">
      <c r="A2" s="25" t="s">
        <v>873</v>
      </c>
      <c r="B2" s="25" t="s">
        <v>874</v>
      </c>
      <c r="C2" s="25" t="s">
        <v>875</v>
      </c>
      <c r="D2" s="25" t="s">
        <v>876</v>
      </c>
      <c r="E2" s="25" t="s">
        <v>877</v>
      </c>
    </row>
    <row r="3" spans="1:5">
      <c r="A3" s="25" t="s">
        <v>873</v>
      </c>
      <c r="B3" s="25" t="s">
        <v>874</v>
      </c>
      <c r="C3" s="25" t="s">
        <v>878</v>
      </c>
      <c r="D3" s="25" t="s">
        <v>879</v>
      </c>
      <c r="E3" s="25" t="s">
        <v>880</v>
      </c>
    </row>
    <row r="4" spans="1:5">
      <c r="A4" s="25" t="s">
        <v>873</v>
      </c>
      <c r="B4" s="25" t="s">
        <v>874</v>
      </c>
      <c r="C4" s="25" t="s">
        <v>881</v>
      </c>
      <c r="D4" s="25" t="s">
        <v>882</v>
      </c>
      <c r="E4" s="25" t="s">
        <v>883</v>
      </c>
    </row>
    <row r="5" spans="1:5">
      <c r="A5" s="25" t="s">
        <v>873</v>
      </c>
      <c r="B5" s="25" t="s">
        <v>874</v>
      </c>
      <c r="C5" s="25" t="s">
        <v>884</v>
      </c>
      <c r="D5" s="25" t="s">
        <v>885</v>
      </c>
      <c r="E5" s="25" t="s">
        <v>886</v>
      </c>
    </row>
    <row r="6" spans="1:5">
      <c r="A6" s="25" t="s">
        <v>873</v>
      </c>
      <c r="B6" s="25" t="s">
        <v>874</v>
      </c>
      <c r="C6" s="25" t="s">
        <v>887</v>
      </c>
      <c r="D6" s="25" t="s">
        <v>888</v>
      </c>
      <c r="E6" s="25" t="s">
        <v>889</v>
      </c>
    </row>
    <row r="7" spans="1:5">
      <c r="A7" s="25" t="s">
        <v>873</v>
      </c>
      <c r="B7" s="25" t="s">
        <v>874</v>
      </c>
      <c r="C7" s="25" t="s">
        <v>890</v>
      </c>
      <c r="D7" s="25" t="s">
        <v>891</v>
      </c>
      <c r="E7" s="25" t="s">
        <v>892</v>
      </c>
    </row>
    <row r="8" spans="1:5">
      <c r="A8" s="25" t="s">
        <v>873</v>
      </c>
      <c r="B8" s="25" t="s">
        <v>874</v>
      </c>
      <c r="C8" s="25" t="s">
        <v>893</v>
      </c>
      <c r="D8" s="25" t="s">
        <v>894</v>
      </c>
      <c r="E8" s="25" t="s">
        <v>895</v>
      </c>
    </row>
    <row r="9" spans="1:5">
      <c r="A9" s="25" t="s">
        <v>873</v>
      </c>
      <c r="B9" s="25" t="s">
        <v>874</v>
      </c>
      <c r="C9" s="25" t="s">
        <v>896</v>
      </c>
      <c r="D9" s="25" t="s">
        <v>897</v>
      </c>
      <c r="E9" s="25" t="s">
        <v>898</v>
      </c>
    </row>
    <row r="10" spans="1:5">
      <c r="A10" s="25" t="s">
        <v>873</v>
      </c>
      <c r="B10" s="25" t="s">
        <v>874</v>
      </c>
      <c r="C10" s="25" t="s">
        <v>899</v>
      </c>
      <c r="D10" s="25" t="s">
        <v>900</v>
      </c>
      <c r="E10" s="25" t="s">
        <v>901</v>
      </c>
    </row>
    <row r="11" spans="1:5">
      <c r="A11" s="25" t="s">
        <v>873</v>
      </c>
      <c r="B11" s="25" t="s">
        <v>874</v>
      </c>
      <c r="C11" s="25" t="s">
        <v>902</v>
      </c>
      <c r="D11" s="25" t="s">
        <v>903</v>
      </c>
      <c r="E11" s="25" t="s">
        <v>904</v>
      </c>
    </row>
    <row r="12" spans="1:5">
      <c r="A12" s="25" t="s">
        <v>873</v>
      </c>
      <c r="B12" s="25" t="s">
        <v>874</v>
      </c>
      <c r="C12" s="25" t="s">
        <v>905</v>
      </c>
      <c r="D12" s="25" t="s">
        <v>906</v>
      </c>
      <c r="E12" s="25" t="s">
        <v>907</v>
      </c>
    </row>
    <row r="13" spans="1:5">
      <c r="A13" s="25" t="s">
        <v>873</v>
      </c>
      <c r="B13" s="25" t="s">
        <v>874</v>
      </c>
      <c r="C13" s="25" t="s">
        <v>908</v>
      </c>
      <c r="D13" s="25" t="s">
        <v>909</v>
      </c>
      <c r="E13" s="25" t="s">
        <v>910</v>
      </c>
    </row>
    <row r="14" spans="1:5">
      <c r="A14" s="25" t="s">
        <v>873</v>
      </c>
      <c r="B14" s="25" t="s">
        <v>874</v>
      </c>
      <c r="C14" s="25" t="s">
        <v>912</v>
      </c>
      <c r="D14" s="25" t="s">
        <v>913</v>
      </c>
      <c r="E14" s="25" t="s">
        <v>914</v>
      </c>
    </row>
    <row r="15" spans="1:5">
      <c r="A15" s="25" t="s">
        <v>873</v>
      </c>
      <c r="B15" s="25" t="s">
        <v>874</v>
      </c>
      <c r="C15" s="25" t="s">
        <v>915</v>
      </c>
      <c r="D15" s="25" t="s">
        <v>916</v>
      </c>
      <c r="E15" s="25" t="s">
        <v>917</v>
      </c>
    </row>
    <row r="16" spans="1:5">
      <c r="A16" s="25" t="s">
        <v>873</v>
      </c>
      <c r="B16" s="25" t="s">
        <v>874</v>
      </c>
      <c r="C16" s="25" t="s">
        <v>918</v>
      </c>
      <c r="D16" s="25" t="s">
        <v>919</v>
      </c>
      <c r="E16" s="25" t="s">
        <v>920</v>
      </c>
    </row>
    <row r="17" spans="1:5">
      <c r="A17" s="25" t="s">
        <v>873</v>
      </c>
      <c r="B17" s="25" t="s">
        <v>874</v>
      </c>
      <c r="C17" s="25" t="s">
        <v>921</v>
      </c>
      <c r="D17" s="25" t="s">
        <v>922</v>
      </c>
      <c r="E17" s="25" t="s">
        <v>923</v>
      </c>
    </row>
    <row r="18" spans="1:5">
      <c r="A18" s="25" t="s">
        <v>873</v>
      </c>
      <c r="B18" s="25" t="s">
        <v>874</v>
      </c>
      <c r="C18" s="25" t="s">
        <v>925</v>
      </c>
      <c r="D18" s="25" t="s">
        <v>926</v>
      </c>
      <c r="E18" s="25" t="s">
        <v>927</v>
      </c>
    </row>
    <row r="19" spans="1:5">
      <c r="A19" s="25" t="s">
        <v>873</v>
      </c>
      <c r="B19" s="25" t="s">
        <v>874</v>
      </c>
      <c r="C19" s="25" t="s">
        <v>928</v>
      </c>
      <c r="D19" s="25" t="s">
        <v>929</v>
      </c>
      <c r="E19" s="25" t="s">
        <v>930</v>
      </c>
    </row>
    <row r="20" spans="1:5">
      <c r="A20" s="27" t="s">
        <v>873</v>
      </c>
      <c r="B20" s="27" t="s">
        <v>874</v>
      </c>
      <c r="C20" s="27" t="s">
        <v>931</v>
      </c>
      <c r="D20" s="27" t="s">
        <v>932</v>
      </c>
      <c r="E20" s="27" t="s">
        <v>933</v>
      </c>
    </row>
    <row r="21" spans="1:5">
      <c r="A21" s="28" t="s">
        <v>873</v>
      </c>
      <c r="B21" s="28" t="s">
        <v>874</v>
      </c>
      <c r="C21" s="28" t="s">
        <v>934</v>
      </c>
      <c r="D21" s="28" t="s">
        <v>935</v>
      </c>
      <c r="E21" s="28" t="s">
        <v>936</v>
      </c>
    </row>
    <row r="22" spans="1:5">
      <c r="A22" s="28" t="s">
        <v>873</v>
      </c>
      <c r="B22" s="28" t="s">
        <v>874</v>
      </c>
      <c r="C22" s="28" t="s">
        <v>937</v>
      </c>
      <c r="D22" s="28" t="s">
        <v>938</v>
      </c>
      <c r="E22" s="28" t="s">
        <v>939</v>
      </c>
    </row>
    <row r="23" spans="1:5">
      <c r="A23" s="28" t="s">
        <v>873</v>
      </c>
      <c r="B23" s="28" t="s">
        <v>874</v>
      </c>
      <c r="C23" s="28" t="s">
        <v>941</v>
      </c>
      <c r="D23" s="28" t="s">
        <v>942</v>
      </c>
      <c r="E23" s="28" t="s">
        <v>943</v>
      </c>
    </row>
    <row r="24" spans="1:5">
      <c r="A24" s="28" t="s">
        <v>873</v>
      </c>
      <c r="B24" s="28" t="s">
        <v>874</v>
      </c>
      <c r="C24" s="28" t="s">
        <v>944</v>
      </c>
      <c r="D24" s="28" t="s">
        <v>945</v>
      </c>
      <c r="E24" s="28" t="s">
        <v>946</v>
      </c>
    </row>
    <row r="25" spans="1:5">
      <c r="A25" s="28" t="s">
        <v>873</v>
      </c>
      <c r="B25" s="28" t="s">
        <v>874</v>
      </c>
      <c r="C25" s="28" t="s">
        <v>947</v>
      </c>
      <c r="D25" s="28" t="s">
        <v>948</v>
      </c>
      <c r="E25" s="28" t="s">
        <v>949</v>
      </c>
    </row>
    <row r="26" spans="1:5">
      <c r="A26" s="28" t="s">
        <v>873</v>
      </c>
      <c r="B26" s="28" t="s">
        <v>874</v>
      </c>
      <c r="C26" s="28" t="s">
        <v>950</v>
      </c>
      <c r="D26" s="28" t="s">
        <v>951</v>
      </c>
      <c r="E26" s="28" t="s">
        <v>952</v>
      </c>
    </row>
    <row r="27" spans="1:5">
      <c r="A27" s="28" t="s">
        <v>873</v>
      </c>
      <c r="B27" s="28" t="s">
        <v>874</v>
      </c>
      <c r="C27" s="28" t="s">
        <v>953</v>
      </c>
      <c r="D27" s="28" t="s">
        <v>954</v>
      </c>
      <c r="E27" s="28" t="s">
        <v>955</v>
      </c>
    </row>
    <row r="28" spans="1:5">
      <c r="A28" s="28" t="s">
        <v>873</v>
      </c>
      <c r="B28" s="28" t="s">
        <v>874</v>
      </c>
      <c r="C28" s="28" t="s">
        <v>956</v>
      </c>
      <c r="D28" s="28" t="s">
        <v>957</v>
      </c>
      <c r="E28" s="28" t="s">
        <v>958</v>
      </c>
    </row>
    <row r="29" spans="1:5">
      <c r="A29" s="28" t="s">
        <v>873</v>
      </c>
      <c r="B29" s="28" t="s">
        <v>874</v>
      </c>
      <c r="C29" s="28" t="s">
        <v>959</v>
      </c>
      <c r="D29" s="28" t="s">
        <v>960</v>
      </c>
      <c r="E29" s="28" t="s">
        <v>961</v>
      </c>
    </row>
    <row r="30" spans="1:5">
      <c r="A30" s="28" t="s">
        <v>873</v>
      </c>
      <c r="B30" s="28" t="s">
        <v>874</v>
      </c>
      <c r="C30" s="28" t="s">
        <v>962</v>
      </c>
      <c r="D30" s="28" t="s">
        <v>963</v>
      </c>
      <c r="E30" s="28" t="s">
        <v>964</v>
      </c>
    </row>
    <row r="31" spans="1:5">
      <c r="A31" s="28" t="s">
        <v>873</v>
      </c>
      <c r="B31" s="28" t="s">
        <v>874</v>
      </c>
      <c r="C31" s="28" t="s">
        <v>965</v>
      </c>
      <c r="D31" s="28" t="s">
        <v>966</v>
      </c>
      <c r="E31" s="28" t="s">
        <v>967</v>
      </c>
    </row>
    <row r="32" spans="1:5">
      <c r="A32" s="28" t="s">
        <v>873</v>
      </c>
      <c r="B32" s="28" t="s">
        <v>874</v>
      </c>
      <c r="C32" s="28" t="s">
        <v>968</v>
      </c>
      <c r="D32" s="28" t="s">
        <v>969</v>
      </c>
      <c r="E32" s="28" t="s">
        <v>970</v>
      </c>
    </row>
    <row r="33" spans="1:5">
      <c r="A33" s="28" t="s">
        <v>873</v>
      </c>
      <c r="B33" s="28" t="s">
        <v>874</v>
      </c>
      <c r="C33" s="28" t="s">
        <v>971</v>
      </c>
      <c r="D33" s="28" t="s">
        <v>972</v>
      </c>
      <c r="E33" s="28" t="s">
        <v>973</v>
      </c>
    </row>
    <row r="34" spans="1:5">
      <c r="A34" s="28" t="s">
        <v>873</v>
      </c>
      <c r="B34" s="28" t="s">
        <v>874</v>
      </c>
      <c r="C34" s="28" t="s">
        <v>974</v>
      </c>
      <c r="D34" s="28" t="s">
        <v>975</v>
      </c>
      <c r="E34" s="28" t="s">
        <v>976</v>
      </c>
    </row>
    <row r="35" spans="1:5">
      <c r="A35" s="28" t="s">
        <v>873</v>
      </c>
      <c r="B35" s="28" t="s">
        <v>874</v>
      </c>
      <c r="C35" s="28" t="s">
        <v>977</v>
      </c>
      <c r="D35" s="28" t="s">
        <v>978</v>
      </c>
      <c r="E35" s="28" t="s">
        <v>979</v>
      </c>
    </row>
    <row r="36" spans="1:5">
      <c r="A36" s="28" t="s">
        <v>873</v>
      </c>
      <c r="B36" s="28" t="s">
        <v>874</v>
      </c>
      <c r="C36" s="28" t="s">
        <v>981</v>
      </c>
      <c r="D36" s="28" t="s">
        <v>982</v>
      </c>
      <c r="E36" s="28" t="s">
        <v>983</v>
      </c>
    </row>
    <row r="37" spans="1:5">
      <c r="A37" s="28" t="s">
        <v>873</v>
      </c>
      <c r="B37" s="28" t="s">
        <v>874</v>
      </c>
      <c r="C37" s="28" t="s">
        <v>984</v>
      </c>
      <c r="D37" s="28" t="s">
        <v>985</v>
      </c>
      <c r="E37" s="28" t="s">
        <v>986</v>
      </c>
    </row>
    <row r="38" spans="1:5">
      <c r="A38" s="28" t="s">
        <v>873</v>
      </c>
      <c r="B38" s="28" t="s">
        <v>874</v>
      </c>
      <c r="C38" s="28" t="s">
        <v>987</v>
      </c>
      <c r="D38" s="28" t="s">
        <v>988</v>
      </c>
      <c r="E38" s="28" t="s">
        <v>989</v>
      </c>
    </row>
    <row r="39" spans="1:5">
      <c r="A39" s="28" t="s">
        <v>873</v>
      </c>
      <c r="B39" s="28" t="s">
        <v>874</v>
      </c>
      <c r="C39" s="28" t="s">
        <v>990</v>
      </c>
      <c r="D39" s="28" t="s">
        <v>991</v>
      </c>
      <c r="E39" s="28" t="s">
        <v>992</v>
      </c>
    </row>
    <row r="40" spans="1:5">
      <c r="A40" s="28" t="s">
        <v>873</v>
      </c>
      <c r="B40" s="28" t="s">
        <v>874</v>
      </c>
      <c r="C40" s="28" t="s">
        <v>994</v>
      </c>
      <c r="D40" s="28" t="s">
        <v>995</v>
      </c>
      <c r="E40" s="28" t="s">
        <v>996</v>
      </c>
    </row>
    <row r="41" spans="1:5">
      <c r="A41" s="28" t="s">
        <v>873</v>
      </c>
      <c r="B41" s="28" t="s">
        <v>874</v>
      </c>
      <c r="C41" s="28" t="s">
        <v>997</v>
      </c>
      <c r="D41" s="28" t="s">
        <v>998</v>
      </c>
      <c r="E41" s="28" t="s">
        <v>999</v>
      </c>
    </row>
    <row r="42" spans="1:5">
      <c r="A42" s="28" t="s">
        <v>873</v>
      </c>
      <c r="B42" s="28" t="s">
        <v>874</v>
      </c>
      <c r="C42" s="28" t="s">
        <v>1000</v>
      </c>
      <c r="D42" s="28" t="s">
        <v>1001</v>
      </c>
      <c r="E42" s="28" t="s">
        <v>1002</v>
      </c>
    </row>
    <row r="43" spans="1:5">
      <c r="A43" s="28" t="s">
        <v>873</v>
      </c>
      <c r="B43" s="28" t="s">
        <v>874</v>
      </c>
      <c r="C43" s="28" t="s">
        <v>1003</v>
      </c>
      <c r="D43" s="28" t="s">
        <v>1004</v>
      </c>
      <c r="E43" s="28" t="s">
        <v>1005</v>
      </c>
    </row>
    <row r="44" spans="1:5">
      <c r="A44" s="28" t="s">
        <v>873</v>
      </c>
      <c r="B44" s="28" t="s">
        <v>874</v>
      </c>
      <c r="C44" s="28" t="s">
        <v>1006</v>
      </c>
      <c r="D44" s="28" t="s">
        <v>1007</v>
      </c>
      <c r="E44" s="28" t="s">
        <v>1008</v>
      </c>
    </row>
    <row r="45" spans="1:5">
      <c r="A45" s="28" t="s">
        <v>873</v>
      </c>
      <c r="B45" s="28" t="s">
        <v>874</v>
      </c>
      <c r="C45" s="28" t="s">
        <v>1009</v>
      </c>
      <c r="D45" s="28" t="s">
        <v>1010</v>
      </c>
      <c r="E45" s="28" t="s">
        <v>1011</v>
      </c>
    </row>
    <row r="46" spans="1:5">
      <c r="A46" s="28" t="s">
        <v>873</v>
      </c>
      <c r="B46" s="28" t="s">
        <v>874</v>
      </c>
      <c r="C46" s="28" t="s">
        <v>1012</v>
      </c>
      <c r="D46" s="28" t="s">
        <v>1013</v>
      </c>
      <c r="E46" s="28" t="s">
        <v>1014</v>
      </c>
    </row>
    <row r="47" spans="1:5">
      <c r="A47" s="28" t="s">
        <v>873</v>
      </c>
      <c r="B47" s="28" t="s">
        <v>874</v>
      </c>
      <c r="C47" s="28" t="s">
        <v>1015</v>
      </c>
      <c r="D47" s="28" t="s">
        <v>1016</v>
      </c>
      <c r="E47" s="28" t="s">
        <v>1017</v>
      </c>
    </row>
    <row r="48" spans="1:5">
      <c r="A48" s="28" t="s">
        <v>873</v>
      </c>
      <c r="B48" s="28" t="s">
        <v>874</v>
      </c>
      <c r="C48" s="28" t="s">
        <v>1018</v>
      </c>
      <c r="D48" s="28" t="s">
        <v>1019</v>
      </c>
      <c r="E48" s="28" t="s">
        <v>1020</v>
      </c>
    </row>
    <row r="49" spans="1:5">
      <c r="A49" s="28" t="s">
        <v>873</v>
      </c>
      <c r="B49" s="28" t="s">
        <v>874</v>
      </c>
      <c r="C49" s="28" t="s">
        <v>1022</v>
      </c>
      <c r="D49" s="28" t="s">
        <v>1023</v>
      </c>
      <c r="E49" s="28" t="s">
        <v>1024</v>
      </c>
    </row>
    <row r="50" spans="1:5">
      <c r="A50" s="28" t="s">
        <v>873</v>
      </c>
      <c r="B50" s="28" t="s">
        <v>874</v>
      </c>
      <c r="C50" s="28" t="s">
        <v>1025</v>
      </c>
      <c r="D50" s="28" t="s">
        <v>1026</v>
      </c>
      <c r="E50" s="28" t="s">
        <v>1027</v>
      </c>
    </row>
    <row r="51" spans="1:5">
      <c r="A51" s="28" t="s">
        <v>873</v>
      </c>
      <c r="B51" s="28" t="s">
        <v>874</v>
      </c>
      <c r="C51" s="28" t="s">
        <v>1028</v>
      </c>
      <c r="D51" s="28" t="s">
        <v>1029</v>
      </c>
      <c r="E51" s="28" t="s">
        <v>1030</v>
      </c>
    </row>
    <row r="52" spans="1:5">
      <c r="A52" s="28" t="s">
        <v>873</v>
      </c>
      <c r="B52" s="28" t="s">
        <v>874</v>
      </c>
      <c r="C52" s="28" t="s">
        <v>1031</v>
      </c>
      <c r="D52" s="28" t="s">
        <v>1032</v>
      </c>
      <c r="E52" s="28" t="s">
        <v>1033</v>
      </c>
    </row>
    <row r="53" spans="1:5">
      <c r="A53" s="28" t="s">
        <v>873</v>
      </c>
      <c r="B53" s="28" t="s">
        <v>874</v>
      </c>
      <c r="C53" s="28" t="s">
        <v>1034</v>
      </c>
      <c r="D53" s="28" t="s">
        <v>1035</v>
      </c>
      <c r="E53" s="28" t="s">
        <v>1036</v>
      </c>
    </row>
    <row r="54" spans="1:5">
      <c r="A54" s="28" t="s">
        <v>873</v>
      </c>
      <c r="B54" s="28" t="s">
        <v>874</v>
      </c>
      <c r="C54" s="28" t="s">
        <v>1037</v>
      </c>
      <c r="D54" s="28" t="s">
        <v>1038</v>
      </c>
      <c r="E54" s="28" t="s">
        <v>1039</v>
      </c>
    </row>
    <row r="55" spans="1:5">
      <c r="A55" s="28" t="s">
        <v>873</v>
      </c>
      <c r="B55" s="28" t="s">
        <v>874</v>
      </c>
      <c r="C55" s="28" t="s">
        <v>1040</v>
      </c>
      <c r="D55" s="28" t="s">
        <v>1041</v>
      </c>
      <c r="E55" s="28" t="s">
        <v>1042</v>
      </c>
    </row>
    <row r="56" spans="1:5">
      <c r="A56" s="28" t="s">
        <v>873</v>
      </c>
      <c r="B56" s="28" t="s">
        <v>874</v>
      </c>
      <c r="C56" s="28" t="s">
        <v>1043</v>
      </c>
      <c r="D56" s="28" t="s">
        <v>1044</v>
      </c>
      <c r="E56" s="28" t="s">
        <v>1045</v>
      </c>
    </row>
    <row r="57" spans="1:5">
      <c r="A57" s="28" t="s">
        <v>873</v>
      </c>
      <c r="B57" s="28" t="s">
        <v>874</v>
      </c>
      <c r="C57" s="28" t="s">
        <v>1046</v>
      </c>
      <c r="D57" s="28" t="s">
        <v>1047</v>
      </c>
      <c r="E57" s="28" t="s">
        <v>1048</v>
      </c>
    </row>
    <row r="58" spans="1:5">
      <c r="A58" s="28" t="s">
        <v>873</v>
      </c>
      <c r="B58" s="28" t="s">
        <v>874</v>
      </c>
      <c r="C58" s="28" t="s">
        <v>1049</v>
      </c>
      <c r="D58" s="28" t="s">
        <v>1050</v>
      </c>
      <c r="E58" s="28" t="s">
        <v>1051</v>
      </c>
    </row>
    <row r="59" spans="1:5">
      <c r="A59" s="28" t="s">
        <v>873</v>
      </c>
      <c r="B59" s="28" t="s">
        <v>874</v>
      </c>
      <c r="C59" s="28" t="s">
        <v>1052</v>
      </c>
      <c r="D59" s="28" t="s">
        <v>1053</v>
      </c>
      <c r="E59" s="28" t="s">
        <v>1054</v>
      </c>
    </row>
    <row r="60" spans="1:5">
      <c r="A60" s="28" t="s">
        <v>873</v>
      </c>
      <c r="B60" s="28" t="s">
        <v>874</v>
      </c>
      <c r="C60" s="28" t="s">
        <v>1055</v>
      </c>
      <c r="D60" s="28" t="s">
        <v>1056</v>
      </c>
      <c r="E60" s="28" t="s">
        <v>1057</v>
      </c>
    </row>
    <row r="61" spans="1:5">
      <c r="A61" s="28" t="s">
        <v>873</v>
      </c>
      <c r="B61" s="28" t="s">
        <v>874</v>
      </c>
      <c r="C61" s="28" t="s">
        <v>1059</v>
      </c>
      <c r="D61" s="28" t="s">
        <v>1060</v>
      </c>
      <c r="E61" s="28" t="s">
        <v>1061</v>
      </c>
    </row>
    <row r="62" spans="1:5">
      <c r="A62" s="28" t="s">
        <v>873</v>
      </c>
      <c r="B62" s="28" t="s">
        <v>874</v>
      </c>
      <c r="C62" s="28" t="s">
        <v>1062</v>
      </c>
      <c r="D62" s="28" t="s">
        <v>1063</v>
      </c>
      <c r="E62" s="28" t="s">
        <v>1064</v>
      </c>
    </row>
    <row r="63" spans="1:5">
      <c r="A63" s="28" t="s">
        <v>873</v>
      </c>
      <c r="B63" s="28" t="s">
        <v>874</v>
      </c>
      <c r="C63" s="28" t="s">
        <v>1066</v>
      </c>
      <c r="D63" s="28" t="s">
        <v>1067</v>
      </c>
      <c r="E63" s="28" t="s">
        <v>1068</v>
      </c>
    </row>
    <row r="64" spans="1:5">
      <c r="A64" s="28" t="s">
        <v>873</v>
      </c>
      <c r="B64" s="28" t="s">
        <v>874</v>
      </c>
      <c r="C64" s="28" t="s">
        <v>1069</v>
      </c>
      <c r="D64" s="28" t="s">
        <v>1070</v>
      </c>
      <c r="E64" s="28" t="s">
        <v>1071</v>
      </c>
    </row>
    <row r="65" spans="1:5">
      <c r="A65" s="28" t="s">
        <v>873</v>
      </c>
      <c r="B65" s="28" t="s">
        <v>874</v>
      </c>
      <c r="C65" s="28" t="s">
        <v>1072</v>
      </c>
      <c r="D65" s="28" t="s">
        <v>1073</v>
      </c>
      <c r="E65" s="28" t="s">
        <v>1074</v>
      </c>
    </row>
    <row r="66" spans="1:5">
      <c r="A66" s="28" t="s">
        <v>873</v>
      </c>
      <c r="B66" s="28" t="s">
        <v>874</v>
      </c>
      <c r="C66" s="28" t="s">
        <v>1075</v>
      </c>
      <c r="D66" s="28" t="s">
        <v>1076</v>
      </c>
      <c r="E66" s="28" t="s">
        <v>1077</v>
      </c>
    </row>
    <row r="67" spans="1:5">
      <c r="A67" s="28" t="s">
        <v>873</v>
      </c>
      <c r="B67" s="28" t="s">
        <v>874</v>
      </c>
      <c r="C67" s="28" t="s">
        <v>1078</v>
      </c>
      <c r="D67" s="28" t="s">
        <v>1079</v>
      </c>
      <c r="E67" s="28" t="s">
        <v>1080</v>
      </c>
    </row>
    <row r="68" spans="1:5">
      <c r="A68" s="28" t="s">
        <v>873</v>
      </c>
      <c r="B68" s="28" t="s">
        <v>874</v>
      </c>
      <c r="C68" s="28" t="s">
        <v>1081</v>
      </c>
      <c r="D68" s="28" t="s">
        <v>1082</v>
      </c>
      <c r="E68" s="28" t="s">
        <v>1083</v>
      </c>
    </row>
    <row r="69" spans="1:5">
      <c r="A69" s="28" t="s">
        <v>873</v>
      </c>
      <c r="B69" s="28" t="s">
        <v>874</v>
      </c>
      <c r="C69" s="28" t="s">
        <v>1084</v>
      </c>
      <c r="D69" s="28" t="s">
        <v>1085</v>
      </c>
      <c r="E69" s="28" t="s">
        <v>1086</v>
      </c>
    </row>
    <row r="70" spans="1:5">
      <c r="A70" s="28" t="s">
        <v>873</v>
      </c>
      <c r="B70" s="28" t="s">
        <v>874</v>
      </c>
      <c r="C70" s="28" t="s">
        <v>1087</v>
      </c>
      <c r="D70" s="28" t="s">
        <v>1088</v>
      </c>
      <c r="E70" s="28" t="s">
        <v>1089</v>
      </c>
    </row>
    <row r="71" spans="1:5">
      <c r="A71" s="28" t="s">
        <v>873</v>
      </c>
      <c r="B71" s="28" t="s">
        <v>874</v>
      </c>
      <c r="C71" s="28" t="s">
        <v>1090</v>
      </c>
      <c r="D71" s="28" t="s">
        <v>576</v>
      </c>
      <c r="E71" s="28" t="s">
        <v>1091</v>
      </c>
    </row>
    <row r="72" spans="1:5">
      <c r="A72" s="28" t="s">
        <v>873</v>
      </c>
      <c r="B72" s="28" t="s">
        <v>874</v>
      </c>
      <c r="C72" s="28" t="s">
        <v>1092</v>
      </c>
      <c r="D72" s="28" t="s">
        <v>1093</v>
      </c>
      <c r="E72" s="28" t="s">
        <v>1094</v>
      </c>
    </row>
    <row r="73" spans="1:5">
      <c r="A73" s="28" t="s">
        <v>873</v>
      </c>
      <c r="B73" s="28" t="s">
        <v>874</v>
      </c>
      <c r="C73" s="28" t="s">
        <v>1095</v>
      </c>
      <c r="D73" s="28" t="s">
        <v>1096</v>
      </c>
      <c r="E73" s="28" t="s">
        <v>1097</v>
      </c>
    </row>
    <row r="74" spans="1:5">
      <c r="A74" s="28" t="s">
        <v>873</v>
      </c>
      <c r="B74" s="28" t="s">
        <v>874</v>
      </c>
      <c r="C74" s="28" t="s">
        <v>1098</v>
      </c>
      <c r="D74" s="28" t="s">
        <v>1099</v>
      </c>
      <c r="E74" s="28" t="s">
        <v>1100</v>
      </c>
    </row>
    <row r="75" spans="1:5">
      <c r="A75" s="28" t="s">
        <v>873</v>
      </c>
      <c r="B75" s="28" t="s">
        <v>874</v>
      </c>
      <c r="C75" s="28" t="s">
        <v>1101</v>
      </c>
      <c r="D75" s="28" t="s">
        <v>1102</v>
      </c>
      <c r="E75" s="28" t="s">
        <v>1103</v>
      </c>
    </row>
    <row r="76" spans="1:5">
      <c r="A76" s="28" t="s">
        <v>873</v>
      </c>
      <c r="B76" s="28" t="s">
        <v>874</v>
      </c>
      <c r="C76" s="28" t="s">
        <v>1104</v>
      </c>
      <c r="D76" s="28" t="s">
        <v>1105</v>
      </c>
      <c r="E76" s="28" t="s">
        <v>1106</v>
      </c>
    </row>
    <row r="77" spans="1:5">
      <c r="A77" s="28" t="s">
        <v>873</v>
      </c>
      <c r="B77" s="28" t="s">
        <v>874</v>
      </c>
      <c r="C77" s="28" t="s">
        <v>1107</v>
      </c>
      <c r="D77" s="28" t="s">
        <v>1108</v>
      </c>
      <c r="E77" s="28" t="s">
        <v>1109</v>
      </c>
    </row>
    <row r="78" spans="1:5">
      <c r="A78" s="28" t="s">
        <v>873</v>
      </c>
      <c r="B78" s="28" t="s">
        <v>874</v>
      </c>
      <c r="C78" s="28" t="s">
        <v>1110</v>
      </c>
      <c r="D78" s="28" t="s">
        <v>1111</v>
      </c>
      <c r="E78" s="28" t="s">
        <v>1112</v>
      </c>
    </row>
    <row r="79" spans="1:5">
      <c r="A79" s="28" t="s">
        <v>873</v>
      </c>
      <c r="B79" s="28" t="s">
        <v>874</v>
      </c>
      <c r="C79" s="28" t="s">
        <v>1113</v>
      </c>
      <c r="D79" s="28" t="s">
        <v>1114</v>
      </c>
      <c r="E79" s="28" t="s">
        <v>1115</v>
      </c>
    </row>
    <row r="80" spans="1:5">
      <c r="A80" s="28" t="s">
        <v>873</v>
      </c>
      <c r="B80" s="28" t="s">
        <v>874</v>
      </c>
      <c r="C80" s="28" t="s">
        <v>1116</v>
      </c>
      <c r="D80" s="28" t="s">
        <v>1117</v>
      </c>
      <c r="E80" s="28" t="s">
        <v>1118</v>
      </c>
    </row>
    <row r="81" spans="1:5">
      <c r="A81" s="28" t="s">
        <v>873</v>
      </c>
      <c r="B81" s="28" t="s">
        <v>874</v>
      </c>
      <c r="C81" s="28" t="s">
        <v>1119</v>
      </c>
      <c r="D81" s="28" t="s">
        <v>1120</v>
      </c>
      <c r="E81" s="28" t="s">
        <v>1121</v>
      </c>
    </row>
    <row r="82" spans="1:5">
      <c r="A82" s="28" t="s">
        <v>873</v>
      </c>
      <c r="B82" s="28" t="s">
        <v>874</v>
      </c>
      <c r="C82" s="28" t="s">
        <v>1123</v>
      </c>
      <c r="D82" s="28" t="s">
        <v>1124</v>
      </c>
      <c r="E82" s="28" t="s">
        <v>1125</v>
      </c>
    </row>
    <row r="83" spans="1:5">
      <c r="A83" s="28" t="s">
        <v>873</v>
      </c>
      <c r="B83" s="28" t="s">
        <v>874</v>
      </c>
      <c r="C83" s="28" t="s">
        <v>1126</v>
      </c>
      <c r="D83" s="28" t="s">
        <v>1127</v>
      </c>
      <c r="E83" s="28" t="s">
        <v>1128</v>
      </c>
    </row>
    <row r="84" spans="1:5">
      <c r="A84" s="28" t="s">
        <v>873</v>
      </c>
      <c r="B84" s="28" t="s">
        <v>874</v>
      </c>
      <c r="C84" s="28" t="s">
        <v>1129</v>
      </c>
      <c r="D84" s="28" t="s">
        <v>1130</v>
      </c>
      <c r="E84" s="28" t="s">
        <v>1131</v>
      </c>
    </row>
    <row r="85" spans="1:5">
      <c r="A85" s="28" t="s">
        <v>873</v>
      </c>
      <c r="B85" s="28" t="s">
        <v>874</v>
      </c>
      <c r="C85" s="28" t="s">
        <v>1132</v>
      </c>
      <c r="D85" s="28" t="s">
        <v>1133</v>
      </c>
      <c r="E85" s="28" t="s">
        <v>1134</v>
      </c>
    </row>
    <row r="86" spans="1:5">
      <c r="A86" s="28" t="s">
        <v>873</v>
      </c>
      <c r="B86" s="28" t="s">
        <v>874</v>
      </c>
      <c r="C86" s="28" t="s">
        <v>1135</v>
      </c>
      <c r="D86" s="28" t="s">
        <v>1136</v>
      </c>
      <c r="E86" s="28" t="s">
        <v>1137</v>
      </c>
    </row>
    <row r="87" spans="1:5">
      <c r="A87" s="28" t="s">
        <v>873</v>
      </c>
      <c r="B87" s="28" t="s">
        <v>874</v>
      </c>
      <c r="C87" s="28" t="s">
        <v>1139</v>
      </c>
      <c r="D87" s="28" t="s">
        <v>1140</v>
      </c>
      <c r="E87" s="28" t="s">
        <v>1141</v>
      </c>
    </row>
    <row r="88" spans="1:5">
      <c r="A88" s="28" t="s">
        <v>873</v>
      </c>
      <c r="B88" s="28" t="s">
        <v>874</v>
      </c>
      <c r="C88" s="28" t="s">
        <v>1142</v>
      </c>
      <c r="D88" s="28" t="s">
        <v>1143</v>
      </c>
      <c r="E88" s="28" t="s">
        <v>1144</v>
      </c>
    </row>
    <row r="89" spans="1:5">
      <c r="A89" s="28" t="s">
        <v>873</v>
      </c>
      <c r="B89" s="28" t="s">
        <v>874</v>
      </c>
      <c r="C89" s="28" t="s">
        <v>1145</v>
      </c>
      <c r="D89" s="28" t="s">
        <v>1146</v>
      </c>
      <c r="E89" s="28" t="s">
        <v>1147</v>
      </c>
    </row>
    <row r="90" spans="1:5">
      <c r="A90" s="28" t="s">
        <v>873</v>
      </c>
      <c r="B90" s="28" t="s">
        <v>874</v>
      </c>
      <c r="C90" s="28" t="s">
        <v>1148</v>
      </c>
      <c r="D90" s="28" t="s">
        <v>1149</v>
      </c>
      <c r="E90" s="28" t="s">
        <v>1150</v>
      </c>
    </row>
    <row r="91" spans="1:5">
      <c r="A91" s="28" t="s">
        <v>873</v>
      </c>
      <c r="B91" s="28" t="s">
        <v>874</v>
      </c>
      <c r="C91" s="28" t="s">
        <v>1152</v>
      </c>
      <c r="D91" s="28" t="s">
        <v>1153</v>
      </c>
      <c r="E91" s="28" t="s">
        <v>1154</v>
      </c>
    </row>
    <row r="92" spans="1:5">
      <c r="A92" s="28" t="s">
        <v>873</v>
      </c>
      <c r="B92" s="28" t="s">
        <v>874</v>
      </c>
      <c r="C92" s="28" t="s">
        <v>1155</v>
      </c>
      <c r="D92" s="28" t="s">
        <v>1156</v>
      </c>
      <c r="E92" s="28" t="s">
        <v>1157</v>
      </c>
    </row>
    <row r="93" spans="1:5">
      <c r="A93" s="28" t="s">
        <v>873</v>
      </c>
      <c r="B93" s="28" t="s">
        <v>874</v>
      </c>
      <c r="C93" s="28" t="s">
        <v>1158</v>
      </c>
      <c r="D93" s="28" t="s">
        <v>1159</v>
      </c>
      <c r="E93" s="28" t="s">
        <v>1160</v>
      </c>
    </row>
    <row r="94" spans="1:5">
      <c r="A94" s="28" t="s">
        <v>873</v>
      </c>
      <c r="B94" s="28" t="s">
        <v>874</v>
      </c>
      <c r="C94" s="28" t="s">
        <v>1161</v>
      </c>
      <c r="D94" s="28" t="s">
        <v>1162</v>
      </c>
      <c r="E94" s="28" t="s">
        <v>1163</v>
      </c>
    </row>
    <row r="95" spans="1:5">
      <c r="A95" s="28" t="s">
        <v>873</v>
      </c>
      <c r="B95" s="28" t="s">
        <v>874</v>
      </c>
      <c r="C95" s="28" t="s">
        <v>1164</v>
      </c>
      <c r="D95" s="28" t="s">
        <v>1165</v>
      </c>
      <c r="E95" s="28" t="s">
        <v>1166</v>
      </c>
    </row>
    <row r="96" spans="1:5">
      <c r="A96" s="28" t="s">
        <v>873</v>
      </c>
      <c r="B96" s="28" t="s">
        <v>874</v>
      </c>
      <c r="C96" s="28" t="s">
        <v>1167</v>
      </c>
      <c r="D96" s="28" t="s">
        <v>1168</v>
      </c>
      <c r="E96" s="28" t="s">
        <v>1169</v>
      </c>
    </row>
    <row r="97" spans="1:5">
      <c r="A97" s="28" t="s">
        <v>873</v>
      </c>
      <c r="B97" s="28" t="s">
        <v>874</v>
      </c>
      <c r="C97" s="28" t="s">
        <v>1171</v>
      </c>
      <c r="D97" s="28" t="s">
        <v>1172</v>
      </c>
      <c r="E97" s="28" t="s">
        <v>1173</v>
      </c>
    </row>
    <row r="98" spans="1:5">
      <c r="A98" s="28" t="s">
        <v>873</v>
      </c>
      <c r="B98" s="28" t="s">
        <v>874</v>
      </c>
      <c r="C98" s="28" t="s">
        <v>1174</v>
      </c>
      <c r="D98" s="28" t="s">
        <v>1175</v>
      </c>
      <c r="E98" s="28" t="s">
        <v>1176</v>
      </c>
    </row>
    <row r="99" spans="1:5">
      <c r="A99" s="28" t="s">
        <v>873</v>
      </c>
      <c r="B99" s="28" t="s">
        <v>874</v>
      </c>
      <c r="C99" s="28" t="s">
        <v>1177</v>
      </c>
      <c r="D99" s="28" t="s">
        <v>1178</v>
      </c>
      <c r="E99" s="28" t="s">
        <v>1179</v>
      </c>
    </row>
    <row r="100" spans="1:5">
      <c r="A100" s="28" t="s">
        <v>873</v>
      </c>
      <c r="B100" s="28" t="s">
        <v>874</v>
      </c>
      <c r="C100" s="28" t="s">
        <v>1180</v>
      </c>
      <c r="D100" s="28" t="s">
        <v>1181</v>
      </c>
      <c r="E100" s="28" t="s">
        <v>1182</v>
      </c>
    </row>
    <row r="101" spans="1:5">
      <c r="A101" s="28" t="s">
        <v>873</v>
      </c>
      <c r="B101" s="28" t="s">
        <v>874</v>
      </c>
      <c r="C101" s="28" t="s">
        <v>1183</v>
      </c>
      <c r="D101" s="28" t="s">
        <v>1184</v>
      </c>
      <c r="E101" s="28" t="s">
        <v>1185</v>
      </c>
    </row>
    <row r="102" spans="1:5">
      <c r="A102" s="28" t="s">
        <v>873</v>
      </c>
      <c r="B102" s="28" t="s">
        <v>874</v>
      </c>
      <c r="C102" s="28" t="s">
        <v>590</v>
      </c>
      <c r="D102" s="28" t="s">
        <v>1186</v>
      </c>
      <c r="E102" s="28" t="s">
        <v>1187</v>
      </c>
    </row>
    <row r="103" spans="1:5">
      <c r="A103" s="28" t="s">
        <v>873</v>
      </c>
      <c r="B103" s="28" t="s">
        <v>874</v>
      </c>
      <c r="C103" s="28" t="s">
        <v>1188</v>
      </c>
      <c r="D103" s="28" t="s">
        <v>1189</v>
      </c>
      <c r="E103" s="28" t="s">
        <v>1190</v>
      </c>
    </row>
    <row r="104" spans="1:5">
      <c r="A104" s="28" t="s">
        <v>873</v>
      </c>
      <c r="B104" s="28" t="s">
        <v>874</v>
      </c>
      <c r="C104" s="28" t="s">
        <v>1191</v>
      </c>
      <c r="D104" s="28" t="s">
        <v>1192</v>
      </c>
      <c r="E104" s="28" t="s">
        <v>1193</v>
      </c>
    </row>
    <row r="105" spans="1:5">
      <c r="A105" s="28" t="s">
        <v>873</v>
      </c>
      <c r="B105" s="28" t="s">
        <v>874</v>
      </c>
      <c r="C105" s="28" t="s">
        <v>1194</v>
      </c>
      <c r="D105" s="28" t="s">
        <v>1195</v>
      </c>
      <c r="E105" s="28" t="s">
        <v>1196</v>
      </c>
    </row>
    <row r="106" spans="1:5">
      <c r="A106" s="28" t="s">
        <v>873</v>
      </c>
      <c r="B106" s="28" t="s">
        <v>874</v>
      </c>
      <c r="C106" s="28" t="s">
        <v>1197</v>
      </c>
      <c r="D106" s="28" t="s">
        <v>1198</v>
      </c>
      <c r="E106" s="28" t="s">
        <v>1199</v>
      </c>
    </row>
    <row r="107" spans="1:5">
      <c r="A107" s="28" t="s">
        <v>873</v>
      </c>
      <c r="B107" s="28" t="s">
        <v>874</v>
      </c>
      <c r="C107" s="28" t="s">
        <v>1200</v>
      </c>
      <c r="D107" s="28" t="s">
        <v>1201</v>
      </c>
      <c r="E107" s="28" t="s">
        <v>1202</v>
      </c>
    </row>
    <row r="108" spans="1:5">
      <c r="A108" s="28" t="s">
        <v>873</v>
      </c>
      <c r="B108" s="28" t="s">
        <v>874</v>
      </c>
      <c r="C108" s="28" t="s">
        <v>1204</v>
      </c>
      <c r="D108" s="28" t="s">
        <v>1205</v>
      </c>
      <c r="E108" s="28" t="s">
        <v>1206</v>
      </c>
    </row>
    <row r="109" spans="1:5">
      <c r="A109" s="28" t="s">
        <v>873</v>
      </c>
      <c r="B109" s="28" t="s">
        <v>874</v>
      </c>
      <c r="C109" s="28" t="s">
        <v>1208</v>
      </c>
      <c r="D109" s="28" t="s">
        <v>1209</v>
      </c>
      <c r="E109" s="28" t="s">
        <v>1210</v>
      </c>
    </row>
    <row r="110" spans="1:5">
      <c r="A110" s="28" t="s">
        <v>873</v>
      </c>
      <c r="B110" s="28" t="s">
        <v>874</v>
      </c>
      <c r="C110" s="28" t="s">
        <v>1211</v>
      </c>
      <c r="D110" s="28" t="s">
        <v>1212</v>
      </c>
      <c r="E110" s="28" t="s">
        <v>1213</v>
      </c>
    </row>
    <row r="111" spans="1:5">
      <c r="A111" s="28" t="s">
        <v>873</v>
      </c>
      <c r="B111" s="28" t="s">
        <v>874</v>
      </c>
      <c r="C111" s="28" t="s">
        <v>1214</v>
      </c>
      <c r="D111" s="28" t="s">
        <v>1215</v>
      </c>
      <c r="E111" s="28" t="s">
        <v>1216</v>
      </c>
    </row>
    <row r="112" spans="1:5">
      <c r="A112" s="28" t="s">
        <v>873</v>
      </c>
      <c r="B112" s="28" t="s">
        <v>874</v>
      </c>
      <c r="C112" s="28" t="s">
        <v>1217</v>
      </c>
      <c r="D112" s="28" t="s">
        <v>1218</v>
      </c>
      <c r="E112" s="28" t="s">
        <v>1219</v>
      </c>
    </row>
    <row r="113" spans="1:5">
      <c r="A113" s="28" t="s">
        <v>873</v>
      </c>
      <c r="B113" s="28" t="s">
        <v>874</v>
      </c>
      <c r="C113" s="28" t="s">
        <v>1220</v>
      </c>
      <c r="D113" s="28" t="s">
        <v>1221</v>
      </c>
      <c r="E113" s="28" t="s">
        <v>1222</v>
      </c>
    </row>
    <row r="114" spans="1:5">
      <c r="A114" s="28" t="s">
        <v>873</v>
      </c>
      <c r="B114" s="28" t="s">
        <v>874</v>
      </c>
      <c r="C114" s="28" t="s">
        <v>1223</v>
      </c>
      <c r="D114" s="28" t="s">
        <v>1224</v>
      </c>
      <c r="E114" s="28" t="s">
        <v>1225</v>
      </c>
    </row>
    <row r="115" spans="1:5">
      <c r="A115" s="28" t="s">
        <v>873</v>
      </c>
      <c r="B115" s="28" t="s">
        <v>874</v>
      </c>
      <c r="C115" s="28" t="s">
        <v>1226</v>
      </c>
      <c r="D115" s="28" t="s">
        <v>1227</v>
      </c>
      <c r="E115" s="28" t="s">
        <v>1228</v>
      </c>
    </row>
    <row r="116" spans="1:5">
      <c r="A116" s="28" t="s">
        <v>873</v>
      </c>
      <c r="B116" s="28" t="s">
        <v>874</v>
      </c>
      <c r="C116" s="28" t="s">
        <v>1230</v>
      </c>
      <c r="D116" s="28" t="s">
        <v>1231</v>
      </c>
      <c r="E116" s="28" t="s">
        <v>1232</v>
      </c>
    </row>
    <row r="117" spans="1:5">
      <c r="A117" s="28" t="s">
        <v>873</v>
      </c>
      <c r="B117" s="28" t="s">
        <v>874</v>
      </c>
      <c r="C117" s="28" t="s">
        <v>1234</v>
      </c>
      <c r="D117" s="28" t="s">
        <v>1235</v>
      </c>
      <c r="E117" s="28" t="s">
        <v>1236</v>
      </c>
    </row>
    <row r="118" spans="1:5">
      <c r="A118" s="28" t="s">
        <v>873</v>
      </c>
      <c r="B118" s="28" t="s">
        <v>874</v>
      </c>
      <c r="C118" s="28" t="s">
        <v>1237</v>
      </c>
      <c r="D118" s="28" t="s">
        <v>1238</v>
      </c>
      <c r="E118" s="28" t="s">
        <v>1239</v>
      </c>
    </row>
    <row r="119" spans="1:5">
      <c r="A119" s="28" t="s">
        <v>873</v>
      </c>
      <c r="B119" s="28" t="s">
        <v>874</v>
      </c>
      <c r="C119" s="28" t="s">
        <v>1240</v>
      </c>
      <c r="D119" s="28" t="s">
        <v>1241</v>
      </c>
      <c r="E119" s="28" t="s">
        <v>1242</v>
      </c>
    </row>
    <row r="120" spans="1:5">
      <c r="A120" s="28" t="s">
        <v>873</v>
      </c>
      <c r="B120" s="28" t="s">
        <v>874</v>
      </c>
      <c r="C120" s="28" t="s">
        <v>1243</v>
      </c>
      <c r="D120" s="28" t="s">
        <v>1244</v>
      </c>
      <c r="E120" s="28" t="s">
        <v>1245</v>
      </c>
    </row>
    <row r="121" spans="1:5">
      <c r="A121" s="28" t="s">
        <v>873</v>
      </c>
      <c r="B121" s="28" t="s">
        <v>874</v>
      </c>
      <c r="C121" s="28" t="s">
        <v>1247</v>
      </c>
      <c r="D121" s="28" t="s">
        <v>1248</v>
      </c>
      <c r="E121" s="28" t="s">
        <v>1249</v>
      </c>
    </row>
    <row r="122" spans="1:5">
      <c r="A122" s="28" t="s">
        <v>873</v>
      </c>
      <c r="B122" s="28" t="s">
        <v>874</v>
      </c>
      <c r="C122" s="28" t="s">
        <v>1250</v>
      </c>
      <c r="D122" s="28" t="s">
        <v>1251</v>
      </c>
      <c r="E122" s="28" t="s">
        <v>1252</v>
      </c>
    </row>
    <row r="123" spans="1:5">
      <c r="A123" s="28" t="s">
        <v>873</v>
      </c>
      <c r="B123" s="28" t="s">
        <v>874</v>
      </c>
      <c r="C123" s="28" t="s">
        <v>1253</v>
      </c>
      <c r="D123" s="28" t="s">
        <v>1254</v>
      </c>
      <c r="E123" s="28" t="s">
        <v>1255</v>
      </c>
    </row>
    <row r="124" spans="1:5">
      <c r="A124" s="28" t="s">
        <v>873</v>
      </c>
      <c r="B124" s="28" t="s">
        <v>874</v>
      </c>
      <c r="C124" s="28" t="s">
        <v>1256</v>
      </c>
      <c r="D124" s="28" t="s">
        <v>1257</v>
      </c>
      <c r="E124" s="28" t="s">
        <v>1258</v>
      </c>
    </row>
    <row r="125" spans="1:5">
      <c r="A125" s="28" t="s">
        <v>873</v>
      </c>
      <c r="B125" s="28" t="s">
        <v>874</v>
      </c>
      <c r="C125" s="28" t="s">
        <v>1259</v>
      </c>
      <c r="D125" s="28" t="s">
        <v>1260</v>
      </c>
      <c r="E125" s="28" t="s">
        <v>1261</v>
      </c>
    </row>
    <row r="126" spans="1:5">
      <c r="A126" s="28" t="s">
        <v>873</v>
      </c>
      <c r="B126" s="28" t="s">
        <v>874</v>
      </c>
      <c r="C126" s="28" t="s">
        <v>1262</v>
      </c>
      <c r="D126" s="28" t="s">
        <v>1263</v>
      </c>
      <c r="E126" s="28" t="s">
        <v>1264</v>
      </c>
    </row>
    <row r="127" spans="1:5">
      <c r="A127" s="28" t="s">
        <v>873</v>
      </c>
      <c r="B127" s="28" t="s">
        <v>874</v>
      </c>
      <c r="C127" s="28" t="s">
        <v>1266</v>
      </c>
      <c r="D127" s="28" t="s">
        <v>1267</v>
      </c>
      <c r="E127" s="28" t="s">
        <v>1268</v>
      </c>
    </row>
    <row r="128" spans="1:5">
      <c r="A128" s="28" t="s">
        <v>873</v>
      </c>
      <c r="B128" s="28" t="s">
        <v>874</v>
      </c>
      <c r="C128" s="28" t="s">
        <v>1269</v>
      </c>
      <c r="D128" s="28" t="s">
        <v>1270</v>
      </c>
      <c r="E128" s="28" t="s">
        <v>1271</v>
      </c>
    </row>
    <row r="129" spans="1:5">
      <c r="A129" s="28" t="s">
        <v>873</v>
      </c>
      <c r="B129" s="28" t="s">
        <v>874</v>
      </c>
      <c r="C129" s="28" t="s">
        <v>1273</v>
      </c>
      <c r="D129" s="28" t="s">
        <v>1274</v>
      </c>
      <c r="E129" s="28" t="s">
        <v>1275</v>
      </c>
    </row>
    <row r="130" spans="1:5">
      <c r="A130" s="28" t="s">
        <v>873</v>
      </c>
      <c r="B130" s="28" t="s">
        <v>874</v>
      </c>
      <c r="C130" s="28" t="s">
        <v>1277</v>
      </c>
      <c r="D130" s="28" t="s">
        <v>1278</v>
      </c>
      <c r="E130" s="28" t="s">
        <v>1279</v>
      </c>
    </row>
    <row r="131" spans="1:5">
      <c r="A131" s="28" t="s">
        <v>873</v>
      </c>
      <c r="B131" s="28" t="s">
        <v>874</v>
      </c>
      <c r="C131" s="28" t="s">
        <v>1281</v>
      </c>
      <c r="D131" s="28" t="s">
        <v>1282</v>
      </c>
      <c r="E131" s="28" t="s">
        <v>1283</v>
      </c>
    </row>
    <row r="132" spans="1:5">
      <c r="A132" s="28" t="s">
        <v>873</v>
      </c>
      <c r="B132" s="28" t="s">
        <v>874</v>
      </c>
      <c r="C132" s="28" t="s">
        <v>1284</v>
      </c>
      <c r="D132" s="28" t="s">
        <v>1285</v>
      </c>
      <c r="E132" s="28" t="s">
        <v>1286</v>
      </c>
    </row>
    <row r="133" spans="1:5">
      <c r="A133" s="28" t="s">
        <v>873</v>
      </c>
      <c r="B133" s="28" t="s">
        <v>874</v>
      </c>
      <c r="C133" s="28" t="s">
        <v>1288</v>
      </c>
      <c r="D133" s="28" t="s">
        <v>1289</v>
      </c>
      <c r="E133" s="28" t="s">
        <v>1290</v>
      </c>
    </row>
    <row r="134" spans="1:5">
      <c r="A134" s="28" t="s">
        <v>873</v>
      </c>
      <c r="B134" s="28" t="s">
        <v>874</v>
      </c>
      <c r="C134" s="28" t="s">
        <v>1291</v>
      </c>
      <c r="D134" s="28" t="s">
        <v>1292</v>
      </c>
      <c r="E134" s="28" t="s">
        <v>1293</v>
      </c>
    </row>
    <row r="135" spans="1:5">
      <c r="A135" s="28" t="s">
        <v>873</v>
      </c>
      <c r="B135" s="28" t="s">
        <v>874</v>
      </c>
      <c r="C135" s="28" t="s">
        <v>1294</v>
      </c>
      <c r="D135" s="28" t="s">
        <v>1295</v>
      </c>
      <c r="E135" s="28" t="s">
        <v>1296</v>
      </c>
    </row>
    <row r="136" spans="1:5">
      <c r="A136" s="28" t="s">
        <v>873</v>
      </c>
      <c r="B136" s="28" t="s">
        <v>874</v>
      </c>
      <c r="C136" s="28" t="s">
        <v>1297</v>
      </c>
      <c r="D136" s="28" t="s">
        <v>1298</v>
      </c>
      <c r="E136" s="28" t="s">
        <v>1299</v>
      </c>
    </row>
    <row r="137" spans="1:5">
      <c r="A137" s="28" t="s">
        <v>873</v>
      </c>
      <c r="B137" s="28" t="s">
        <v>874</v>
      </c>
      <c r="C137" s="28" t="s">
        <v>1300</v>
      </c>
      <c r="D137" s="28" t="s">
        <v>1301</v>
      </c>
      <c r="E137" s="28" t="s">
        <v>1302</v>
      </c>
    </row>
    <row r="138" spans="1:5">
      <c r="A138" s="28" t="s">
        <v>873</v>
      </c>
      <c r="B138" s="28" t="s">
        <v>874</v>
      </c>
      <c r="C138" s="28" t="s">
        <v>1303</v>
      </c>
      <c r="D138" s="28" t="s">
        <v>1304</v>
      </c>
      <c r="E138" s="28" t="s">
        <v>1305</v>
      </c>
    </row>
    <row r="139" spans="1:5">
      <c r="A139" s="28" t="s">
        <v>873</v>
      </c>
      <c r="B139" s="28" t="s">
        <v>874</v>
      </c>
      <c r="C139" s="28" t="s">
        <v>1306</v>
      </c>
      <c r="D139" s="28" t="s">
        <v>1307</v>
      </c>
      <c r="E139" s="28" t="s">
        <v>1308</v>
      </c>
    </row>
    <row r="140" spans="1:5">
      <c r="A140" s="28" t="s">
        <v>873</v>
      </c>
      <c r="B140" s="28" t="s">
        <v>874</v>
      </c>
      <c r="C140" s="28" t="s">
        <v>1309</v>
      </c>
      <c r="D140" s="28" t="s">
        <v>1310</v>
      </c>
      <c r="E140" s="28" t="s">
        <v>1311</v>
      </c>
    </row>
    <row r="141" spans="1:5">
      <c r="A141" s="28" t="s">
        <v>873</v>
      </c>
      <c r="B141" s="28" t="s">
        <v>874</v>
      </c>
      <c r="C141" s="28" t="s">
        <v>1312</v>
      </c>
      <c r="D141" s="28" t="s">
        <v>1313</v>
      </c>
      <c r="E141" s="28" t="s">
        <v>1314</v>
      </c>
    </row>
    <row r="142" spans="1:5">
      <c r="A142" s="28" t="s">
        <v>873</v>
      </c>
      <c r="B142" s="28" t="s">
        <v>874</v>
      </c>
      <c r="C142" s="28" t="s">
        <v>1315</v>
      </c>
      <c r="D142" s="28" t="s">
        <v>1316</v>
      </c>
      <c r="E142" s="28" t="s">
        <v>1317</v>
      </c>
    </row>
    <row r="143" spans="1:5">
      <c r="A143" s="28" t="s">
        <v>873</v>
      </c>
      <c r="B143" s="28" t="s">
        <v>874</v>
      </c>
      <c r="C143" s="28" t="s">
        <v>1319</v>
      </c>
      <c r="D143" s="28" t="s">
        <v>1320</v>
      </c>
      <c r="E143" s="28" t="s">
        <v>1321</v>
      </c>
    </row>
    <row r="144" spans="1:5">
      <c r="A144" s="28" t="s">
        <v>873</v>
      </c>
      <c r="B144" s="28" t="s">
        <v>874</v>
      </c>
      <c r="C144" s="28" t="s">
        <v>1322</v>
      </c>
      <c r="D144" s="28" t="s">
        <v>1323</v>
      </c>
      <c r="E144" s="28" t="s">
        <v>1324</v>
      </c>
    </row>
    <row r="145" spans="1:5">
      <c r="A145" s="28" t="s">
        <v>873</v>
      </c>
      <c r="B145" s="28" t="s">
        <v>874</v>
      </c>
      <c r="C145" s="28" t="s">
        <v>1325</v>
      </c>
      <c r="D145" s="28" t="s">
        <v>1326</v>
      </c>
      <c r="E145" s="28" t="s">
        <v>1327</v>
      </c>
    </row>
    <row r="146" spans="1:5">
      <c r="A146" s="28" t="s">
        <v>873</v>
      </c>
      <c r="B146" s="28" t="s">
        <v>874</v>
      </c>
      <c r="C146" s="28" t="s">
        <v>1328</v>
      </c>
      <c r="D146" s="28" t="s">
        <v>1329</v>
      </c>
      <c r="E146" s="28" t="s">
        <v>1330</v>
      </c>
    </row>
    <row r="147" spans="1:5">
      <c r="A147" s="28" t="s">
        <v>873</v>
      </c>
      <c r="B147" s="28" t="s">
        <v>874</v>
      </c>
      <c r="C147" s="28" t="s">
        <v>1331</v>
      </c>
      <c r="D147" s="28" t="s">
        <v>1332</v>
      </c>
      <c r="E147" s="28" t="s">
        <v>1333</v>
      </c>
    </row>
    <row r="148" spans="1:5">
      <c r="A148" s="28" t="s">
        <v>873</v>
      </c>
      <c r="B148" s="28" t="s">
        <v>874</v>
      </c>
      <c r="C148" s="28" t="s">
        <v>1334</v>
      </c>
      <c r="D148" s="28" t="s">
        <v>1335</v>
      </c>
      <c r="E148" s="28" t="s">
        <v>1336</v>
      </c>
    </row>
    <row r="149" spans="1:5">
      <c r="A149" s="28" t="s">
        <v>873</v>
      </c>
      <c r="B149" s="28" t="s">
        <v>874</v>
      </c>
      <c r="C149" s="28" t="s">
        <v>1337</v>
      </c>
      <c r="D149" s="28" t="s">
        <v>1338</v>
      </c>
      <c r="E149" s="28" t="s">
        <v>1339</v>
      </c>
    </row>
    <row r="150" spans="1:5">
      <c r="A150" s="28" t="s">
        <v>873</v>
      </c>
      <c r="B150" s="28" t="s">
        <v>874</v>
      </c>
      <c r="C150" s="28" t="s">
        <v>1340</v>
      </c>
      <c r="D150" s="28" t="s">
        <v>1341</v>
      </c>
      <c r="E150" s="28" t="s">
        <v>1342</v>
      </c>
    </row>
    <row r="151" spans="1:5">
      <c r="A151" s="28" t="s">
        <v>873</v>
      </c>
      <c r="B151" s="28" t="s">
        <v>874</v>
      </c>
      <c r="C151" s="28" t="s">
        <v>1343</v>
      </c>
      <c r="D151" s="28" t="s">
        <v>1344</v>
      </c>
      <c r="E151" s="28" t="s">
        <v>1345</v>
      </c>
    </row>
    <row r="152" spans="1:5">
      <c r="A152" s="28" t="s">
        <v>873</v>
      </c>
      <c r="B152" s="28" t="s">
        <v>874</v>
      </c>
      <c r="C152" s="28" t="s">
        <v>1346</v>
      </c>
      <c r="D152" s="28" t="s">
        <v>1347</v>
      </c>
      <c r="E152" s="28" t="s">
        <v>1348</v>
      </c>
    </row>
    <row r="153" spans="1:5">
      <c r="A153" s="28" t="s">
        <v>873</v>
      </c>
      <c r="B153" s="28" t="s">
        <v>874</v>
      </c>
      <c r="C153" s="28" t="s">
        <v>1349</v>
      </c>
      <c r="D153" s="28" t="s">
        <v>1350</v>
      </c>
      <c r="E153" s="28" t="s">
        <v>1351</v>
      </c>
    </row>
    <row r="154" spans="1:5">
      <c r="A154" s="28" t="s">
        <v>873</v>
      </c>
      <c r="B154" s="28" t="s">
        <v>874</v>
      </c>
      <c r="C154" s="28" t="s">
        <v>1352</v>
      </c>
      <c r="D154" s="28" t="s">
        <v>1353</v>
      </c>
      <c r="E154" s="28" t="s">
        <v>1354</v>
      </c>
    </row>
    <row r="155" spans="1:5">
      <c r="A155" s="28" t="s">
        <v>873</v>
      </c>
      <c r="B155" s="28" t="s">
        <v>874</v>
      </c>
      <c r="C155" s="28" t="s">
        <v>1355</v>
      </c>
      <c r="D155" s="28" t="s">
        <v>1356</v>
      </c>
      <c r="E155" s="28" t="s">
        <v>1357</v>
      </c>
    </row>
    <row r="156" spans="1:5">
      <c r="A156" s="28" t="s">
        <v>873</v>
      </c>
      <c r="B156" s="28" t="s">
        <v>874</v>
      </c>
      <c r="C156" s="28" t="s">
        <v>1358</v>
      </c>
      <c r="D156" s="28" t="s">
        <v>1359</v>
      </c>
      <c r="E156" s="28" t="s">
        <v>1360</v>
      </c>
    </row>
    <row r="157" spans="1:5">
      <c r="A157" s="28" t="s">
        <v>873</v>
      </c>
      <c r="B157" s="28" t="s">
        <v>874</v>
      </c>
      <c r="C157" s="28" t="s">
        <v>1361</v>
      </c>
      <c r="D157" s="28" t="s">
        <v>1362</v>
      </c>
      <c r="E157" s="28" t="s">
        <v>1363</v>
      </c>
    </row>
    <row r="158" spans="1:5">
      <c r="A158" s="28" t="s">
        <v>873</v>
      </c>
      <c r="B158" s="28" t="s">
        <v>874</v>
      </c>
      <c r="C158" s="28" t="s">
        <v>1364</v>
      </c>
      <c r="D158" s="28" t="s">
        <v>1365</v>
      </c>
      <c r="E158" s="28" t="s">
        <v>1366</v>
      </c>
    </row>
    <row r="159" spans="1:5">
      <c r="A159" s="28" t="s">
        <v>873</v>
      </c>
      <c r="B159" s="28" t="s">
        <v>874</v>
      </c>
      <c r="C159" s="28" t="s">
        <v>1367</v>
      </c>
      <c r="D159" s="28" t="s">
        <v>1368</v>
      </c>
      <c r="E159" s="28" t="s">
        <v>1369</v>
      </c>
    </row>
    <row r="160" spans="1:5">
      <c r="A160" s="28" t="s">
        <v>873</v>
      </c>
      <c r="B160" s="28" t="s">
        <v>874</v>
      </c>
      <c r="C160" s="28" t="s">
        <v>1370</v>
      </c>
      <c r="D160" s="28" t="s">
        <v>1371</v>
      </c>
      <c r="E160" s="28" t="s">
        <v>1372</v>
      </c>
    </row>
    <row r="161" spans="1:5">
      <c r="A161" s="28" t="s">
        <v>873</v>
      </c>
      <c r="B161" s="28" t="s">
        <v>874</v>
      </c>
      <c r="C161" s="28" t="s">
        <v>1374</v>
      </c>
      <c r="D161" s="28" t="s">
        <v>1375</v>
      </c>
      <c r="E161" s="28" t="s">
        <v>1376</v>
      </c>
    </row>
    <row r="162" spans="1:5">
      <c r="A162" s="28" t="s">
        <v>873</v>
      </c>
      <c r="B162" s="28" t="s">
        <v>874</v>
      </c>
      <c r="C162" s="28" t="s">
        <v>1377</v>
      </c>
      <c r="D162" s="28" t="s">
        <v>1378</v>
      </c>
      <c r="E162" s="28" t="s">
        <v>1379</v>
      </c>
    </row>
    <row r="163" spans="1:5">
      <c r="A163" s="28" t="s">
        <v>873</v>
      </c>
      <c r="B163" s="28" t="s">
        <v>874</v>
      </c>
      <c r="C163" s="28" t="s">
        <v>1380</v>
      </c>
      <c r="D163" s="28" t="s">
        <v>1381</v>
      </c>
      <c r="E163" s="28" t="s">
        <v>1382</v>
      </c>
    </row>
    <row r="164" spans="1:5">
      <c r="A164" s="28" t="s">
        <v>873</v>
      </c>
      <c r="B164" s="28" t="s">
        <v>874</v>
      </c>
      <c r="C164" s="28" t="s">
        <v>1383</v>
      </c>
      <c r="D164" s="28" t="s">
        <v>1384</v>
      </c>
      <c r="E164" s="28" t="s">
        <v>1385</v>
      </c>
    </row>
    <row r="165" spans="1:5">
      <c r="A165" s="28" t="s">
        <v>873</v>
      </c>
      <c r="B165" s="28" t="s">
        <v>874</v>
      </c>
      <c r="C165" s="28" t="s">
        <v>1386</v>
      </c>
      <c r="D165" s="28" t="s">
        <v>1387</v>
      </c>
      <c r="E165" s="28" t="s">
        <v>1388</v>
      </c>
    </row>
    <row r="166" spans="1:5">
      <c r="A166" s="28" t="s">
        <v>873</v>
      </c>
      <c r="B166" s="28" t="s">
        <v>874</v>
      </c>
      <c r="C166" s="28" t="s">
        <v>1389</v>
      </c>
      <c r="D166" s="28" t="s">
        <v>1390</v>
      </c>
      <c r="E166" s="28" t="s">
        <v>1391</v>
      </c>
    </row>
    <row r="167" spans="1:5">
      <c r="A167" s="28" t="s">
        <v>873</v>
      </c>
      <c r="B167" s="28" t="s">
        <v>874</v>
      </c>
      <c r="C167" s="28" t="s">
        <v>1392</v>
      </c>
      <c r="D167" s="28" t="s">
        <v>1393</v>
      </c>
      <c r="E167" s="28" t="s">
        <v>1394</v>
      </c>
    </row>
    <row r="168" spans="1:5">
      <c r="A168" s="28" t="s">
        <v>873</v>
      </c>
      <c r="B168" s="28" t="s">
        <v>874</v>
      </c>
      <c r="C168" s="28" t="s">
        <v>1395</v>
      </c>
      <c r="D168" s="28" t="s">
        <v>1396</v>
      </c>
      <c r="E168" s="28" t="s">
        <v>1397</v>
      </c>
    </row>
    <row r="169" spans="1:5">
      <c r="A169" s="28" t="s">
        <v>873</v>
      </c>
      <c r="B169" s="28" t="s">
        <v>874</v>
      </c>
      <c r="C169" s="28" t="s">
        <v>1398</v>
      </c>
      <c r="D169" s="28" t="s">
        <v>1399</v>
      </c>
      <c r="E169" s="28" t="s">
        <v>1400</v>
      </c>
    </row>
    <row r="170" spans="1:5">
      <c r="A170" s="28" t="s">
        <v>873</v>
      </c>
      <c r="B170" s="28" t="s">
        <v>874</v>
      </c>
      <c r="C170" s="28" t="s">
        <v>1402</v>
      </c>
      <c r="D170" s="28" t="s">
        <v>1403</v>
      </c>
      <c r="E170" s="28" t="s">
        <v>1404</v>
      </c>
    </row>
    <row r="171" spans="1:5">
      <c r="A171" s="28" t="s">
        <v>873</v>
      </c>
      <c r="B171" s="28" t="s">
        <v>874</v>
      </c>
      <c r="C171" s="28" t="s">
        <v>1405</v>
      </c>
      <c r="D171" s="28" t="s">
        <v>1406</v>
      </c>
      <c r="E171" s="28" t="s">
        <v>1407</v>
      </c>
    </row>
    <row r="172" spans="1:5">
      <c r="A172" s="28" t="s">
        <v>873</v>
      </c>
      <c r="B172" s="28" t="s">
        <v>874</v>
      </c>
      <c r="C172" s="28" t="s">
        <v>1408</v>
      </c>
      <c r="D172" s="28" t="s">
        <v>1409</v>
      </c>
      <c r="E172" s="28" t="s">
        <v>1410</v>
      </c>
    </row>
    <row r="173" spans="1:5">
      <c r="A173" s="28" t="s">
        <v>873</v>
      </c>
      <c r="B173" s="28" t="s">
        <v>874</v>
      </c>
      <c r="C173" s="28" t="s">
        <v>1412</v>
      </c>
      <c r="D173" s="28" t="s">
        <v>1413</v>
      </c>
      <c r="E173" s="28" t="s">
        <v>1414</v>
      </c>
    </row>
    <row r="174" spans="1:5">
      <c r="A174" s="28" t="s">
        <v>873</v>
      </c>
      <c r="B174" s="28" t="s">
        <v>874</v>
      </c>
      <c r="C174" s="28" t="s">
        <v>1415</v>
      </c>
      <c r="D174" s="28" t="s">
        <v>1416</v>
      </c>
      <c r="E174" s="28" t="s">
        <v>1417</v>
      </c>
    </row>
    <row r="175" spans="1:5">
      <c r="A175" s="28" t="s">
        <v>873</v>
      </c>
      <c r="B175" s="28" t="s">
        <v>874</v>
      </c>
      <c r="C175" s="28" t="s">
        <v>1418</v>
      </c>
      <c r="D175" s="28" t="s">
        <v>1419</v>
      </c>
      <c r="E175" s="28" t="s">
        <v>1420</v>
      </c>
    </row>
    <row r="176" spans="1:5">
      <c r="A176" s="28" t="s">
        <v>873</v>
      </c>
      <c r="B176" s="28" t="s">
        <v>874</v>
      </c>
      <c r="C176" s="28" t="s">
        <v>1421</v>
      </c>
      <c r="D176" s="28" t="s">
        <v>1422</v>
      </c>
      <c r="E176" s="28" t="s">
        <v>1423</v>
      </c>
    </row>
    <row r="177" spans="1:5">
      <c r="A177" s="28" t="s">
        <v>873</v>
      </c>
      <c r="B177" s="28" t="s">
        <v>874</v>
      </c>
      <c r="C177" s="28" t="s">
        <v>1424</v>
      </c>
      <c r="D177" s="28" t="s">
        <v>1425</v>
      </c>
      <c r="E177" s="28" t="s">
        <v>1426</v>
      </c>
    </row>
    <row r="178" spans="1:5">
      <c r="A178" s="28" t="s">
        <v>873</v>
      </c>
      <c r="B178" s="28" t="s">
        <v>874</v>
      </c>
      <c r="C178" s="28" t="s">
        <v>1428</v>
      </c>
      <c r="D178" s="28" t="s">
        <v>1429</v>
      </c>
      <c r="E178" s="28" t="s">
        <v>1430</v>
      </c>
    </row>
    <row r="179" spans="1:5">
      <c r="A179" s="28" t="s">
        <v>873</v>
      </c>
      <c r="B179" s="28" t="s">
        <v>874</v>
      </c>
      <c r="C179" s="28" t="s">
        <v>1431</v>
      </c>
      <c r="D179" s="28" t="s">
        <v>1432</v>
      </c>
      <c r="E179" s="28" t="s">
        <v>1433</v>
      </c>
    </row>
    <row r="180" spans="1:5">
      <c r="A180" s="28" t="s">
        <v>873</v>
      </c>
      <c r="B180" s="28" t="s">
        <v>874</v>
      </c>
      <c r="C180" s="28" t="s">
        <v>1434</v>
      </c>
      <c r="D180" s="28" t="s">
        <v>1435</v>
      </c>
      <c r="E180" s="28" t="s">
        <v>1436</v>
      </c>
    </row>
    <row r="181" spans="1:5">
      <c r="A181" s="28" t="s">
        <v>873</v>
      </c>
      <c r="B181" s="28" t="s">
        <v>874</v>
      </c>
      <c r="C181" s="28" t="s">
        <v>1438</v>
      </c>
      <c r="D181" s="28" t="s">
        <v>1439</v>
      </c>
      <c r="E181" s="28" t="s">
        <v>1440</v>
      </c>
    </row>
    <row r="182" spans="1:5">
      <c r="A182" s="28" t="s">
        <v>873</v>
      </c>
      <c r="B182" s="28" t="s">
        <v>874</v>
      </c>
      <c r="C182" s="28" t="s">
        <v>1441</v>
      </c>
      <c r="D182" s="28" t="s">
        <v>1442</v>
      </c>
      <c r="E182" s="28" t="s">
        <v>1443</v>
      </c>
    </row>
    <row r="183" spans="1:5">
      <c r="A183" s="28" t="s">
        <v>873</v>
      </c>
      <c r="B183" s="28" t="s">
        <v>874</v>
      </c>
      <c r="C183" s="28" t="s">
        <v>1444</v>
      </c>
      <c r="D183" s="28" t="s">
        <v>1445</v>
      </c>
      <c r="E183" s="28" t="s">
        <v>1446</v>
      </c>
    </row>
    <row r="184" spans="1:5">
      <c r="A184" s="28" t="s">
        <v>873</v>
      </c>
      <c r="B184" s="28" t="s">
        <v>874</v>
      </c>
      <c r="C184" s="28" t="s">
        <v>1447</v>
      </c>
      <c r="D184" s="28" t="s">
        <v>1448</v>
      </c>
      <c r="E184" s="28" t="s">
        <v>1449</v>
      </c>
    </row>
    <row r="185" spans="1:5">
      <c r="A185" s="28" t="s">
        <v>873</v>
      </c>
      <c r="B185" s="28" t="s">
        <v>874</v>
      </c>
      <c r="C185" s="28" t="s">
        <v>1450</v>
      </c>
      <c r="D185" s="28" t="s">
        <v>1451</v>
      </c>
      <c r="E185" s="28" t="s">
        <v>1452</v>
      </c>
    </row>
    <row r="186" spans="1:5">
      <c r="A186" s="28" t="s">
        <v>873</v>
      </c>
      <c r="B186" s="28" t="s">
        <v>874</v>
      </c>
      <c r="C186" s="28" t="s">
        <v>1453</v>
      </c>
      <c r="D186" s="28" t="s">
        <v>1454</v>
      </c>
      <c r="E186" s="28" t="s">
        <v>1455</v>
      </c>
    </row>
    <row r="187" spans="1:5">
      <c r="A187" s="28" t="s">
        <v>873</v>
      </c>
      <c r="B187" s="28" t="s">
        <v>874</v>
      </c>
      <c r="C187" s="28" t="s">
        <v>1456</v>
      </c>
      <c r="D187" s="28" t="s">
        <v>1457</v>
      </c>
      <c r="E187" s="28" t="s">
        <v>1458</v>
      </c>
    </row>
    <row r="188" spans="1:5">
      <c r="A188" s="28" t="s">
        <v>873</v>
      </c>
      <c r="B188" s="28" t="s">
        <v>874</v>
      </c>
      <c r="C188" s="28" t="s">
        <v>1459</v>
      </c>
      <c r="D188" s="28" t="s">
        <v>1460</v>
      </c>
      <c r="E188" s="28" t="s">
        <v>1461</v>
      </c>
    </row>
    <row r="189" spans="1:5">
      <c r="A189" s="28" t="s">
        <v>873</v>
      </c>
      <c r="B189" s="28" t="s">
        <v>874</v>
      </c>
      <c r="C189" s="28" t="s">
        <v>1462</v>
      </c>
      <c r="D189" s="28" t="s">
        <v>1463</v>
      </c>
      <c r="E189" s="28" t="s">
        <v>1464</v>
      </c>
    </row>
    <row r="190" spans="1:5">
      <c r="A190" s="28" t="s">
        <v>873</v>
      </c>
      <c r="B190" s="28" t="s">
        <v>874</v>
      </c>
      <c r="C190" s="28" t="s">
        <v>1465</v>
      </c>
      <c r="D190" s="28" t="s">
        <v>1466</v>
      </c>
      <c r="E190" s="28" t="s">
        <v>1467</v>
      </c>
    </row>
    <row r="191" spans="1:5">
      <c r="A191" s="28" t="s">
        <v>873</v>
      </c>
      <c r="B191" s="28" t="s">
        <v>874</v>
      </c>
      <c r="C191" s="28" t="s">
        <v>1468</v>
      </c>
      <c r="D191" s="28" t="s">
        <v>1469</v>
      </c>
      <c r="E191" s="28" t="s">
        <v>1470</v>
      </c>
    </row>
    <row r="192" spans="1:5">
      <c r="A192" s="28" t="s">
        <v>873</v>
      </c>
      <c r="B192" s="28" t="s">
        <v>874</v>
      </c>
      <c r="C192" s="28" t="s">
        <v>1471</v>
      </c>
      <c r="D192" s="28" t="s">
        <v>1472</v>
      </c>
      <c r="E192" s="28" t="s">
        <v>1473</v>
      </c>
    </row>
    <row r="193" spans="1:5">
      <c r="A193" s="28" t="s">
        <v>873</v>
      </c>
      <c r="B193" s="28" t="s">
        <v>874</v>
      </c>
      <c r="C193" s="28" t="s">
        <v>1474</v>
      </c>
      <c r="D193" s="28" t="s">
        <v>1475</v>
      </c>
      <c r="E193" s="28" t="s">
        <v>1476</v>
      </c>
    </row>
    <row r="194" spans="1:5">
      <c r="A194" s="28" t="s">
        <v>873</v>
      </c>
      <c r="B194" s="28" t="s">
        <v>874</v>
      </c>
      <c r="C194" s="28" t="s">
        <v>1477</v>
      </c>
      <c r="D194" s="28" t="s">
        <v>1478</v>
      </c>
      <c r="E194" s="28" t="s">
        <v>1479</v>
      </c>
    </row>
    <row r="195" spans="1:5">
      <c r="A195" s="28" t="s">
        <v>873</v>
      </c>
      <c r="B195" s="28" t="s">
        <v>874</v>
      </c>
      <c r="C195" s="28" t="s">
        <v>1480</v>
      </c>
      <c r="D195" s="28" t="s">
        <v>1481</v>
      </c>
      <c r="E195" s="28" t="s">
        <v>1482</v>
      </c>
    </row>
    <row r="196" spans="1:5">
      <c r="A196" s="28" t="s">
        <v>873</v>
      </c>
      <c r="B196" s="28" t="s">
        <v>874</v>
      </c>
      <c r="C196" s="28" t="s">
        <v>1484</v>
      </c>
      <c r="D196" s="28" t="s">
        <v>1485</v>
      </c>
      <c r="E196" s="28" t="s">
        <v>1486</v>
      </c>
    </row>
    <row r="197" spans="1:5">
      <c r="A197" s="28" t="s">
        <v>873</v>
      </c>
      <c r="B197" s="28" t="s">
        <v>874</v>
      </c>
      <c r="C197" s="28" t="s">
        <v>1487</v>
      </c>
      <c r="D197" s="28" t="s">
        <v>1488</v>
      </c>
      <c r="E197" s="28" t="s">
        <v>1489</v>
      </c>
    </row>
    <row r="198" spans="1:5">
      <c r="A198" s="28" t="s">
        <v>873</v>
      </c>
      <c r="B198" s="28" t="s">
        <v>874</v>
      </c>
      <c r="C198" s="28" t="s">
        <v>1490</v>
      </c>
      <c r="D198" s="28" t="s">
        <v>1491</v>
      </c>
      <c r="E198" s="28" t="s">
        <v>1492</v>
      </c>
    </row>
    <row r="199" spans="1:5">
      <c r="A199" s="28" t="s">
        <v>873</v>
      </c>
      <c r="B199" s="28" t="s">
        <v>874</v>
      </c>
      <c r="C199" s="28" t="s">
        <v>1493</v>
      </c>
      <c r="D199" s="28" t="s">
        <v>1494</v>
      </c>
      <c r="E199" s="28" t="s">
        <v>1495</v>
      </c>
    </row>
    <row r="200" spans="1:5">
      <c r="A200" s="28" t="s">
        <v>873</v>
      </c>
      <c r="B200" s="28" t="s">
        <v>874</v>
      </c>
      <c r="C200" s="28" t="s">
        <v>1496</v>
      </c>
      <c r="D200" s="28" t="s">
        <v>1497</v>
      </c>
      <c r="E200" s="28" t="s">
        <v>1498</v>
      </c>
    </row>
    <row r="201" spans="1:5">
      <c r="A201" s="28" t="s">
        <v>873</v>
      </c>
      <c r="B201" s="28" t="s">
        <v>874</v>
      </c>
      <c r="C201" s="28" t="s">
        <v>1499</v>
      </c>
      <c r="D201" s="28" t="s">
        <v>1500</v>
      </c>
      <c r="E201" s="28" t="s">
        <v>1501</v>
      </c>
    </row>
    <row r="202" spans="1:5">
      <c r="A202" s="28" t="s">
        <v>873</v>
      </c>
      <c r="B202" s="28" t="s">
        <v>874</v>
      </c>
      <c r="C202" s="28" t="s">
        <v>1502</v>
      </c>
      <c r="D202" s="28" t="s">
        <v>1503</v>
      </c>
      <c r="E202" s="28" t="s">
        <v>1504</v>
      </c>
    </row>
    <row r="203" spans="1:5">
      <c r="A203" s="28" t="s">
        <v>873</v>
      </c>
      <c r="B203" s="28" t="s">
        <v>874</v>
      </c>
      <c r="C203" s="28" t="s">
        <v>1505</v>
      </c>
      <c r="D203" s="28" t="s">
        <v>1506</v>
      </c>
      <c r="E203" s="28" t="s">
        <v>1507</v>
      </c>
    </row>
    <row r="204" spans="1:5">
      <c r="A204" s="28" t="s">
        <v>873</v>
      </c>
      <c r="B204" s="28" t="s">
        <v>874</v>
      </c>
      <c r="C204" s="28" t="s">
        <v>1508</v>
      </c>
      <c r="D204" s="28" t="s">
        <v>1509</v>
      </c>
      <c r="E204" s="28" t="s">
        <v>1510</v>
      </c>
    </row>
    <row r="205" spans="1:5">
      <c r="A205" s="28" t="s">
        <v>873</v>
      </c>
      <c r="B205" s="28" t="s">
        <v>874</v>
      </c>
      <c r="C205" s="28" t="s">
        <v>1511</v>
      </c>
      <c r="D205" s="28" t="s">
        <v>1512</v>
      </c>
      <c r="E205" s="28" t="s">
        <v>1513</v>
      </c>
    </row>
    <row r="206" spans="1:5">
      <c r="A206" s="28" t="s">
        <v>873</v>
      </c>
      <c r="B206" s="28" t="s">
        <v>874</v>
      </c>
      <c r="C206" s="28" t="s">
        <v>1514</v>
      </c>
      <c r="D206" s="28" t="s">
        <v>1515</v>
      </c>
      <c r="E206" s="28" t="s">
        <v>1516</v>
      </c>
    </row>
    <row r="207" spans="1:5">
      <c r="A207" s="28" t="s">
        <v>873</v>
      </c>
      <c r="B207" s="28" t="s">
        <v>874</v>
      </c>
      <c r="C207" s="28" t="s">
        <v>1518</v>
      </c>
      <c r="D207" s="28" t="s">
        <v>1519</v>
      </c>
      <c r="E207" s="28" t="s">
        <v>1520</v>
      </c>
    </row>
    <row r="208" spans="1:5">
      <c r="A208" s="28" t="s">
        <v>873</v>
      </c>
      <c r="B208" s="28" t="s">
        <v>874</v>
      </c>
      <c r="C208" s="28" t="s">
        <v>1521</v>
      </c>
      <c r="D208" s="28" t="s">
        <v>1522</v>
      </c>
      <c r="E208" s="28" t="s">
        <v>1523</v>
      </c>
    </row>
    <row r="209" spans="1:5">
      <c r="A209" s="28" t="s">
        <v>873</v>
      </c>
      <c r="B209" s="28" t="s">
        <v>874</v>
      </c>
      <c r="C209" s="28" t="s">
        <v>1524</v>
      </c>
      <c r="D209" s="28" t="s">
        <v>1525</v>
      </c>
      <c r="E209" s="28" t="s">
        <v>1526</v>
      </c>
    </row>
    <row r="210" spans="1:5">
      <c r="A210" s="28" t="s">
        <v>873</v>
      </c>
      <c r="B210" s="28" t="s">
        <v>874</v>
      </c>
      <c r="C210" s="28" t="s">
        <v>1527</v>
      </c>
      <c r="D210" s="28" t="s">
        <v>1528</v>
      </c>
      <c r="E210" s="28" t="s">
        <v>1529</v>
      </c>
    </row>
    <row r="211" spans="1:5">
      <c r="A211" s="28" t="s">
        <v>873</v>
      </c>
      <c r="B211" s="28" t="s">
        <v>874</v>
      </c>
      <c r="C211" s="28" t="s">
        <v>1530</v>
      </c>
      <c r="D211" s="28" t="s">
        <v>1531</v>
      </c>
      <c r="E211" s="28" t="s">
        <v>1532</v>
      </c>
    </row>
    <row r="212" spans="1:5">
      <c r="A212" s="28" t="s">
        <v>873</v>
      </c>
      <c r="B212" s="28" t="s">
        <v>874</v>
      </c>
      <c r="C212" s="28" t="s">
        <v>1533</v>
      </c>
      <c r="D212" s="28" t="s">
        <v>1534</v>
      </c>
      <c r="E212" s="28" t="s">
        <v>1535</v>
      </c>
    </row>
    <row r="213" spans="1:5">
      <c r="A213" s="28" t="s">
        <v>873</v>
      </c>
      <c r="B213" s="28" t="s">
        <v>874</v>
      </c>
      <c r="C213" s="28" t="s">
        <v>1536</v>
      </c>
      <c r="D213" s="28" t="s">
        <v>1537</v>
      </c>
      <c r="E213" s="28" t="s">
        <v>1538</v>
      </c>
    </row>
    <row r="214" spans="1:5">
      <c r="A214" s="28" t="s">
        <v>873</v>
      </c>
      <c r="B214" s="28" t="s">
        <v>874</v>
      </c>
      <c r="C214" s="28" t="s">
        <v>1539</v>
      </c>
      <c r="D214" s="28" t="s">
        <v>1540</v>
      </c>
      <c r="E214" s="28" t="s">
        <v>1541</v>
      </c>
    </row>
    <row r="215" spans="1:5">
      <c r="A215" s="28" t="s">
        <v>873</v>
      </c>
      <c r="B215" s="28" t="s">
        <v>874</v>
      </c>
      <c r="C215" s="28" t="s">
        <v>1542</v>
      </c>
      <c r="D215" s="28" t="s">
        <v>1543</v>
      </c>
      <c r="E215" s="28" t="s">
        <v>1544</v>
      </c>
    </row>
    <row r="216" spans="1:5">
      <c r="A216" s="28" t="s">
        <v>873</v>
      </c>
      <c r="B216" s="28" t="s">
        <v>874</v>
      </c>
      <c r="C216" s="28" t="s">
        <v>1546</v>
      </c>
      <c r="D216" s="28" t="s">
        <v>1547</v>
      </c>
      <c r="E216" s="28" t="s">
        <v>1548</v>
      </c>
    </row>
    <row r="217" spans="1:5">
      <c r="A217" s="28" t="s">
        <v>873</v>
      </c>
      <c r="B217" s="28" t="s">
        <v>874</v>
      </c>
      <c r="C217" s="28" t="s">
        <v>1549</v>
      </c>
      <c r="D217" s="28" t="s">
        <v>1550</v>
      </c>
      <c r="E217" s="28" t="s">
        <v>1551</v>
      </c>
    </row>
    <row r="218" spans="1:5">
      <c r="A218" s="28" t="s">
        <v>873</v>
      </c>
      <c r="B218" s="28" t="s">
        <v>874</v>
      </c>
      <c r="C218" s="28" t="s">
        <v>1552</v>
      </c>
      <c r="D218" s="28" t="s">
        <v>1553</v>
      </c>
      <c r="E218" s="28" t="s">
        <v>1554</v>
      </c>
    </row>
    <row r="219" spans="1:5">
      <c r="A219" s="28" t="s">
        <v>873</v>
      </c>
      <c r="B219" s="28" t="s">
        <v>874</v>
      </c>
      <c r="C219" s="28" t="s">
        <v>1555</v>
      </c>
      <c r="D219" s="28" t="s">
        <v>1556</v>
      </c>
      <c r="E219" s="28" t="s">
        <v>1557</v>
      </c>
    </row>
    <row r="220" spans="1:5">
      <c r="A220" s="28" t="s">
        <v>873</v>
      </c>
      <c r="B220" s="28" t="s">
        <v>874</v>
      </c>
      <c r="C220" s="28" t="s">
        <v>1558</v>
      </c>
      <c r="D220" s="28" t="s">
        <v>1559</v>
      </c>
      <c r="E220" s="28" t="s">
        <v>1560</v>
      </c>
    </row>
    <row r="221" spans="1:5">
      <c r="A221" s="28" t="s">
        <v>873</v>
      </c>
      <c r="B221" s="28" t="s">
        <v>874</v>
      </c>
      <c r="C221" s="28" t="s">
        <v>1561</v>
      </c>
      <c r="D221" s="28" t="s">
        <v>1562</v>
      </c>
      <c r="E221" s="28" t="s">
        <v>1563</v>
      </c>
    </row>
    <row r="222" spans="1:5">
      <c r="A222" s="28" t="s">
        <v>873</v>
      </c>
      <c r="B222" s="28" t="s">
        <v>874</v>
      </c>
      <c r="C222" s="28" t="s">
        <v>1564</v>
      </c>
      <c r="D222" s="28" t="s">
        <v>1565</v>
      </c>
      <c r="E222" s="28" t="s">
        <v>1566</v>
      </c>
    </row>
    <row r="223" spans="1:5">
      <c r="A223" s="28" t="s">
        <v>873</v>
      </c>
      <c r="B223" s="28" t="s">
        <v>874</v>
      </c>
      <c r="C223" s="28" t="s">
        <v>1567</v>
      </c>
      <c r="D223" s="28" t="s">
        <v>1568</v>
      </c>
      <c r="E223" s="28" t="s">
        <v>1569</v>
      </c>
    </row>
    <row r="224" spans="1:5">
      <c r="A224" s="28" t="s">
        <v>873</v>
      </c>
      <c r="B224" s="28" t="s">
        <v>874</v>
      </c>
      <c r="C224" s="28" t="s">
        <v>1570</v>
      </c>
      <c r="D224" s="28" t="s">
        <v>1571</v>
      </c>
      <c r="E224" s="28" t="s">
        <v>1572</v>
      </c>
    </row>
    <row r="225" spans="1:5">
      <c r="A225" s="28" t="s">
        <v>873</v>
      </c>
      <c r="B225" s="28" t="s">
        <v>874</v>
      </c>
      <c r="C225" s="28" t="s">
        <v>1573</v>
      </c>
      <c r="D225" s="28" t="s">
        <v>1574</v>
      </c>
      <c r="E225" s="28" t="s">
        <v>1575</v>
      </c>
    </row>
    <row r="226" spans="1:5">
      <c r="A226" s="28" t="s">
        <v>873</v>
      </c>
      <c r="B226" s="28" t="s">
        <v>874</v>
      </c>
      <c r="C226" s="28" t="s">
        <v>1576</v>
      </c>
      <c r="D226" s="28" t="s">
        <v>1577</v>
      </c>
      <c r="E226" s="28" t="s">
        <v>1578</v>
      </c>
    </row>
    <row r="227" spans="1:5">
      <c r="A227" s="28" t="s">
        <v>873</v>
      </c>
      <c r="B227" s="28" t="s">
        <v>874</v>
      </c>
      <c r="C227" s="28" t="s">
        <v>1579</v>
      </c>
      <c r="D227" s="28" t="s">
        <v>1580</v>
      </c>
      <c r="E227" s="28" t="s">
        <v>1581</v>
      </c>
    </row>
    <row r="228" spans="1:5">
      <c r="A228" s="28" t="s">
        <v>873</v>
      </c>
      <c r="B228" s="28" t="s">
        <v>874</v>
      </c>
      <c r="C228" s="28" t="s">
        <v>1582</v>
      </c>
      <c r="D228" s="28" t="s">
        <v>1583</v>
      </c>
      <c r="E228" s="28" t="s">
        <v>1584</v>
      </c>
    </row>
    <row r="229" spans="1:5">
      <c r="A229" s="28" t="s">
        <v>873</v>
      </c>
      <c r="B229" s="28" t="s">
        <v>874</v>
      </c>
      <c r="C229" s="28" t="s">
        <v>1585</v>
      </c>
      <c r="D229" s="28" t="s">
        <v>1586</v>
      </c>
      <c r="E229" s="28" t="s">
        <v>1587</v>
      </c>
    </row>
    <row r="230" spans="1:5">
      <c r="A230" s="28" t="s">
        <v>873</v>
      </c>
      <c r="B230" s="28" t="s">
        <v>874</v>
      </c>
      <c r="C230" s="28" t="s">
        <v>1588</v>
      </c>
      <c r="D230" s="28" t="s">
        <v>1589</v>
      </c>
      <c r="E230" s="28" t="s">
        <v>1590</v>
      </c>
    </row>
    <row r="231" spans="1:5">
      <c r="A231" s="28" t="s">
        <v>873</v>
      </c>
      <c r="B231" s="28" t="s">
        <v>874</v>
      </c>
      <c r="C231" s="28" t="s">
        <v>1591</v>
      </c>
      <c r="D231" s="28" t="s">
        <v>1592</v>
      </c>
      <c r="E231" s="28" t="s">
        <v>1593</v>
      </c>
    </row>
    <row r="232" spans="1:5">
      <c r="A232" s="28" t="s">
        <v>873</v>
      </c>
      <c r="B232" s="28" t="s">
        <v>874</v>
      </c>
      <c r="C232" s="28" t="s">
        <v>1595</v>
      </c>
      <c r="D232" s="28" t="s">
        <v>1596</v>
      </c>
      <c r="E232" s="28" t="s">
        <v>1597</v>
      </c>
    </row>
    <row r="233" spans="1:5">
      <c r="A233" s="28" t="s">
        <v>873</v>
      </c>
      <c r="B233" s="28" t="s">
        <v>874</v>
      </c>
      <c r="C233" s="28" t="s">
        <v>1598</v>
      </c>
      <c r="D233" s="28" t="s">
        <v>1599</v>
      </c>
      <c r="E233" s="28" t="s">
        <v>1600</v>
      </c>
    </row>
    <row r="234" spans="1:5">
      <c r="A234" s="28" t="s">
        <v>873</v>
      </c>
      <c r="B234" s="28" t="s">
        <v>874</v>
      </c>
      <c r="C234" s="28" t="s">
        <v>1601</v>
      </c>
      <c r="D234" s="28" t="s">
        <v>1602</v>
      </c>
      <c r="E234" s="28" t="s">
        <v>1603</v>
      </c>
    </row>
    <row r="235" spans="1:5">
      <c r="A235" s="28" t="s">
        <v>873</v>
      </c>
      <c r="B235" s="28" t="s">
        <v>874</v>
      </c>
      <c r="C235" s="28" t="s">
        <v>1604</v>
      </c>
      <c r="D235" s="28" t="s">
        <v>1605</v>
      </c>
      <c r="E235" s="28" t="s">
        <v>1606</v>
      </c>
    </row>
    <row r="236" spans="1:5">
      <c r="A236" s="28" t="s">
        <v>873</v>
      </c>
      <c r="B236" s="28" t="s">
        <v>874</v>
      </c>
      <c r="C236" s="28" t="s">
        <v>1607</v>
      </c>
      <c r="D236" s="28" t="s">
        <v>1608</v>
      </c>
      <c r="E236" s="28" t="s">
        <v>1609</v>
      </c>
    </row>
    <row r="237" spans="1:5">
      <c r="A237" s="28" t="s">
        <v>873</v>
      </c>
      <c r="B237" s="28" t="s">
        <v>874</v>
      </c>
      <c r="C237" s="28" t="s">
        <v>1610</v>
      </c>
      <c r="D237" s="28" t="s">
        <v>1611</v>
      </c>
      <c r="E237" s="28" t="s">
        <v>1612</v>
      </c>
    </row>
    <row r="238" spans="1:5">
      <c r="A238" s="28" t="s">
        <v>873</v>
      </c>
      <c r="B238" s="28" t="s">
        <v>874</v>
      </c>
      <c r="C238" s="28" t="s">
        <v>1613</v>
      </c>
      <c r="D238" s="28" t="s">
        <v>1614</v>
      </c>
      <c r="E238" s="28" t="s">
        <v>1615</v>
      </c>
    </row>
    <row r="239" spans="1:5">
      <c r="A239" s="28" t="s">
        <v>873</v>
      </c>
      <c r="B239" s="28" t="s">
        <v>874</v>
      </c>
      <c r="C239" s="28" t="s">
        <v>1616</v>
      </c>
      <c r="D239" s="28" t="s">
        <v>1617</v>
      </c>
      <c r="E239" s="28" t="s">
        <v>1618</v>
      </c>
    </row>
    <row r="240" spans="1:5">
      <c r="A240" s="28" t="s">
        <v>873</v>
      </c>
      <c r="B240" s="28" t="s">
        <v>874</v>
      </c>
      <c r="C240" s="28" t="s">
        <v>1619</v>
      </c>
      <c r="D240" s="28" t="s">
        <v>1620</v>
      </c>
      <c r="E240" s="28" t="s">
        <v>1621</v>
      </c>
    </row>
    <row r="241" spans="1:5">
      <c r="A241" s="28" t="s">
        <v>873</v>
      </c>
      <c r="B241" s="28" t="s">
        <v>874</v>
      </c>
      <c r="C241" s="28" t="s">
        <v>1622</v>
      </c>
      <c r="D241" s="28" t="s">
        <v>1623</v>
      </c>
      <c r="E241" s="28" t="s">
        <v>1624</v>
      </c>
    </row>
    <row r="242" spans="1:5">
      <c r="A242" s="28" t="s">
        <v>873</v>
      </c>
      <c r="B242" s="28" t="s">
        <v>874</v>
      </c>
      <c r="C242" s="28" t="s">
        <v>1626</v>
      </c>
      <c r="D242" s="28" t="s">
        <v>1627</v>
      </c>
      <c r="E242" s="28" t="s">
        <v>1628</v>
      </c>
    </row>
    <row r="243" spans="1:5">
      <c r="A243" s="28" t="s">
        <v>873</v>
      </c>
      <c r="B243" s="28" t="s">
        <v>874</v>
      </c>
      <c r="C243" s="28" t="s">
        <v>1629</v>
      </c>
      <c r="D243" s="28" t="s">
        <v>1630</v>
      </c>
      <c r="E243" s="28" t="s">
        <v>1631</v>
      </c>
    </row>
    <row r="244" spans="1:5">
      <c r="A244" s="28" t="s">
        <v>873</v>
      </c>
      <c r="B244" s="28" t="s">
        <v>874</v>
      </c>
      <c r="C244" s="28" t="s">
        <v>1633</v>
      </c>
      <c r="D244" s="28" t="s">
        <v>1634</v>
      </c>
      <c r="E244" s="28" t="s">
        <v>1635</v>
      </c>
    </row>
    <row r="245" spans="1:5">
      <c r="A245" s="28" t="s">
        <v>873</v>
      </c>
      <c r="B245" s="28" t="s">
        <v>874</v>
      </c>
      <c r="C245" s="28" t="s">
        <v>1636</v>
      </c>
      <c r="D245" s="28" t="s">
        <v>1637</v>
      </c>
      <c r="E245" s="28" t="s">
        <v>1638</v>
      </c>
    </row>
    <row r="246" spans="1:5">
      <c r="A246" s="28" t="s">
        <v>873</v>
      </c>
      <c r="B246" s="28" t="s">
        <v>874</v>
      </c>
      <c r="C246" s="28" t="s">
        <v>1639</v>
      </c>
      <c r="D246" s="28" t="s">
        <v>1640</v>
      </c>
      <c r="E246" s="28" t="s">
        <v>1641</v>
      </c>
    </row>
    <row r="247" spans="1:5">
      <c r="A247" s="28" t="s">
        <v>873</v>
      </c>
      <c r="B247" s="28" t="s">
        <v>874</v>
      </c>
      <c r="C247" s="28" t="s">
        <v>1642</v>
      </c>
      <c r="D247" s="28" t="s">
        <v>1643</v>
      </c>
      <c r="E247" s="28" t="s">
        <v>1644</v>
      </c>
    </row>
    <row r="248" spans="1:5">
      <c r="A248" s="28" t="s">
        <v>873</v>
      </c>
      <c r="B248" s="28" t="s">
        <v>874</v>
      </c>
      <c r="C248" s="28" t="s">
        <v>1645</v>
      </c>
      <c r="D248" s="28" t="s">
        <v>1646</v>
      </c>
      <c r="E248" s="28" t="s">
        <v>1647</v>
      </c>
    </row>
    <row r="249" spans="1:5">
      <c r="A249" s="28" t="s">
        <v>873</v>
      </c>
      <c r="B249" s="28" t="s">
        <v>874</v>
      </c>
      <c r="C249" s="28" t="s">
        <v>1648</v>
      </c>
      <c r="D249" s="28" t="s">
        <v>1649</v>
      </c>
      <c r="E249" s="28" t="s">
        <v>1650</v>
      </c>
    </row>
    <row r="250" spans="1:5">
      <c r="A250" s="28" t="s">
        <v>873</v>
      </c>
      <c r="B250" s="28" t="s">
        <v>874</v>
      </c>
      <c r="C250" s="28" t="s">
        <v>1651</v>
      </c>
      <c r="D250" s="28" t="s">
        <v>1652</v>
      </c>
      <c r="E250" s="28" t="s">
        <v>1653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5"/>
  <sheetViews>
    <sheetView workbookViewId="0"/>
  </sheetViews>
  <sheetFormatPr defaultColWidth="9" defaultRowHeight="14.4"/>
  <cols>
    <col min="1" max="1" width="13.44140625" customWidth="1"/>
    <col min="2" max="2" width="15.6640625" customWidth="1"/>
    <col min="3" max="3" width="18.109375" customWidth="1"/>
  </cols>
  <sheetData>
    <row r="1" spans="1:3">
      <c r="A1" t="s">
        <v>1654</v>
      </c>
      <c r="B1" t="s">
        <v>1655</v>
      </c>
      <c r="C1" t="s">
        <v>1656</v>
      </c>
    </row>
    <row r="2" spans="1:3">
      <c r="A2" s="22">
        <v>1</v>
      </c>
      <c r="B2" s="22" t="s">
        <v>1657</v>
      </c>
      <c r="C2" s="22" t="s">
        <v>1658</v>
      </c>
    </row>
    <row r="3" spans="1:3">
      <c r="A3" s="22">
        <v>2</v>
      </c>
      <c r="B3" s="22" t="s">
        <v>1659</v>
      </c>
      <c r="C3" s="22" t="s">
        <v>1660</v>
      </c>
    </row>
    <row r="4" spans="1:3">
      <c r="A4" s="22">
        <v>3</v>
      </c>
      <c r="B4" s="22" t="s">
        <v>1661</v>
      </c>
      <c r="C4" s="22" t="s">
        <v>1662</v>
      </c>
    </row>
    <row r="5" spans="1:3">
      <c r="A5" s="46">
        <v>4</v>
      </c>
      <c r="B5" s="46" t="s">
        <v>1663</v>
      </c>
      <c r="C5" s="90" t="s">
        <v>2284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101"/>
  <sheetViews>
    <sheetView workbookViewId="0"/>
  </sheetViews>
  <sheetFormatPr defaultColWidth="9" defaultRowHeight="14.4"/>
  <cols>
    <col min="1" max="1" width="17.33203125" style="5" customWidth="1"/>
    <col min="2" max="2" width="10.44140625" customWidth="1"/>
    <col min="3" max="3" width="11.44140625" customWidth="1"/>
    <col min="4" max="4" width="31" customWidth="1"/>
    <col min="5" max="5" width="20.44140625" customWidth="1"/>
    <col min="6" max="6" width="15.6640625" customWidth="1"/>
    <col min="9" max="9" width="16" customWidth="1"/>
  </cols>
  <sheetData>
    <row r="1" spans="1:9">
      <c r="A1" s="17" t="s">
        <v>1664</v>
      </c>
      <c r="B1" s="18" t="s">
        <v>131</v>
      </c>
      <c r="C1" s="18" t="s">
        <v>132</v>
      </c>
      <c r="D1" s="18" t="s">
        <v>133</v>
      </c>
      <c r="E1" s="18" t="s">
        <v>1665</v>
      </c>
      <c r="F1" s="1" t="s">
        <v>16</v>
      </c>
      <c r="G1" s="19"/>
      <c r="H1" s="19"/>
      <c r="I1" s="19"/>
    </row>
    <row r="2" spans="1:9">
      <c r="A2" s="20">
        <v>1</v>
      </c>
      <c r="B2" s="16" t="s">
        <v>1666</v>
      </c>
      <c r="C2" s="16" t="s">
        <v>1667</v>
      </c>
      <c r="D2" s="16" t="s">
        <v>1668</v>
      </c>
      <c r="E2" s="16" t="s">
        <v>1669</v>
      </c>
      <c r="F2">
        <v>38</v>
      </c>
    </row>
    <row r="3" spans="1:9">
      <c r="A3" s="20">
        <v>2</v>
      </c>
      <c r="B3" s="16" t="s">
        <v>1670</v>
      </c>
      <c r="C3" s="16" t="s">
        <v>1671</v>
      </c>
      <c r="D3" t="s">
        <v>1672</v>
      </c>
      <c r="E3" s="16" t="s">
        <v>1673</v>
      </c>
      <c r="F3">
        <v>40</v>
      </c>
    </row>
    <row r="4" spans="1:9">
      <c r="A4" s="20">
        <v>3</v>
      </c>
      <c r="B4" s="16" t="s">
        <v>1674</v>
      </c>
      <c r="C4" s="16" t="s">
        <v>1675</v>
      </c>
      <c r="D4" s="16" t="s">
        <v>1676</v>
      </c>
      <c r="E4" s="16" t="s">
        <v>1677</v>
      </c>
      <c r="F4">
        <v>42</v>
      </c>
    </row>
    <row r="5" spans="1:9">
      <c r="A5" s="20">
        <v>4</v>
      </c>
      <c r="B5" s="16" t="s">
        <v>1678</v>
      </c>
      <c r="C5" s="16" t="s">
        <v>1679</v>
      </c>
      <c r="D5" s="16" t="s">
        <v>1680</v>
      </c>
      <c r="E5" s="16" t="s">
        <v>1681</v>
      </c>
      <c r="F5">
        <v>44</v>
      </c>
    </row>
    <row r="6" spans="1:9">
      <c r="A6" s="20">
        <v>5</v>
      </c>
      <c r="B6" s="16" t="s">
        <v>1682</v>
      </c>
      <c r="C6" s="16" t="s">
        <v>1683</v>
      </c>
      <c r="D6" s="16" t="s">
        <v>1684</v>
      </c>
      <c r="E6" s="16" t="s">
        <v>1685</v>
      </c>
      <c r="F6">
        <v>49</v>
      </c>
    </row>
    <row r="7" spans="1:9">
      <c r="A7" s="20">
        <v>6</v>
      </c>
      <c r="B7" s="16" t="s">
        <v>1686</v>
      </c>
      <c r="C7" s="16" t="s">
        <v>1687</v>
      </c>
      <c r="D7" s="16" t="s">
        <v>1688</v>
      </c>
      <c r="E7" s="16" t="s">
        <v>1689</v>
      </c>
      <c r="F7">
        <v>51</v>
      </c>
    </row>
    <row r="8" spans="1:9">
      <c r="A8" s="20">
        <v>7</v>
      </c>
      <c r="B8" s="16" t="s">
        <v>1690</v>
      </c>
      <c r="C8" s="16" t="s">
        <v>1691</v>
      </c>
      <c r="D8" s="16" t="s">
        <v>1692</v>
      </c>
      <c r="E8" s="16" t="s">
        <v>1693</v>
      </c>
      <c r="F8">
        <v>52</v>
      </c>
    </row>
    <row r="9" spans="1:9">
      <c r="A9" s="20">
        <v>8</v>
      </c>
      <c r="B9" s="16" t="s">
        <v>1694</v>
      </c>
      <c r="C9" s="16" t="s">
        <v>1695</v>
      </c>
      <c r="D9" s="16" t="s">
        <v>1696</v>
      </c>
      <c r="E9" s="16" t="s">
        <v>1697</v>
      </c>
      <c r="F9">
        <v>53</v>
      </c>
    </row>
    <row r="10" spans="1:9">
      <c r="A10" s="20">
        <v>9</v>
      </c>
      <c r="B10" s="16" t="s">
        <v>1698</v>
      </c>
      <c r="C10" s="16" t="s">
        <v>1699</v>
      </c>
      <c r="D10" s="16" t="s">
        <v>1700</v>
      </c>
      <c r="E10" s="16" t="s">
        <v>1693</v>
      </c>
      <c r="F10">
        <v>54</v>
      </c>
    </row>
    <row r="11" spans="1:9">
      <c r="A11" s="20">
        <v>10</v>
      </c>
      <c r="B11" s="16" t="s">
        <v>1701</v>
      </c>
      <c r="C11" s="16" t="s">
        <v>1702</v>
      </c>
      <c r="D11" s="16" t="s">
        <v>1703</v>
      </c>
      <c r="E11" s="16" t="s">
        <v>1704</v>
      </c>
      <c r="F11">
        <v>55</v>
      </c>
    </row>
    <row r="12" spans="1:9">
      <c r="A12" s="20">
        <v>11</v>
      </c>
      <c r="B12" s="16" t="s">
        <v>1705</v>
      </c>
      <c r="C12" s="16" t="s">
        <v>1706</v>
      </c>
      <c r="D12" s="16" t="s">
        <v>1707</v>
      </c>
      <c r="E12" s="16" t="s">
        <v>1708</v>
      </c>
      <c r="F12">
        <v>56</v>
      </c>
    </row>
    <row r="13" spans="1:9">
      <c r="A13" s="20">
        <v>12</v>
      </c>
      <c r="B13" s="16" t="s">
        <v>1709</v>
      </c>
      <c r="C13" s="16" t="s">
        <v>1710</v>
      </c>
      <c r="D13" s="16" t="s">
        <v>1711</v>
      </c>
      <c r="E13" s="16" t="s">
        <v>1712</v>
      </c>
      <c r="F13">
        <v>57</v>
      </c>
    </row>
    <row r="14" spans="1:9">
      <c r="A14" s="20">
        <v>13</v>
      </c>
      <c r="B14" s="16" t="s">
        <v>1713</v>
      </c>
      <c r="C14" s="16" t="s">
        <v>1714</v>
      </c>
      <c r="D14" s="16" t="s">
        <v>1715</v>
      </c>
      <c r="E14" s="16" t="s">
        <v>1716</v>
      </c>
      <c r="F14">
        <v>58</v>
      </c>
    </row>
    <row r="15" spans="1:9">
      <c r="A15" s="20">
        <v>14</v>
      </c>
      <c r="B15" s="16" t="s">
        <v>1717</v>
      </c>
      <c r="C15" s="16" t="s">
        <v>1718</v>
      </c>
      <c r="D15" s="16" t="s">
        <v>1719</v>
      </c>
      <c r="E15" s="16" t="s">
        <v>1720</v>
      </c>
      <c r="F15">
        <v>60</v>
      </c>
    </row>
    <row r="16" spans="1:9">
      <c r="A16" s="20">
        <v>15</v>
      </c>
      <c r="B16" s="16" t="s">
        <v>1721</v>
      </c>
      <c r="C16" s="16" t="s">
        <v>1722</v>
      </c>
      <c r="D16" s="16" t="s">
        <v>1723</v>
      </c>
      <c r="E16" s="16" t="s">
        <v>1724</v>
      </c>
      <c r="F16">
        <v>61</v>
      </c>
    </row>
    <row r="17" spans="1:6">
      <c r="A17" s="20">
        <v>16</v>
      </c>
      <c r="B17" s="16" t="s">
        <v>1725</v>
      </c>
      <c r="C17" s="16" t="s">
        <v>1726</v>
      </c>
      <c r="D17" s="16" t="s">
        <v>1727</v>
      </c>
      <c r="E17" s="16" t="s">
        <v>1728</v>
      </c>
      <c r="F17">
        <v>62</v>
      </c>
    </row>
    <row r="18" spans="1:6">
      <c r="A18" s="20">
        <v>17</v>
      </c>
      <c r="B18" s="16" t="s">
        <v>1729</v>
      </c>
      <c r="C18" s="16" t="s">
        <v>1730</v>
      </c>
      <c r="D18" s="16" t="s">
        <v>1731</v>
      </c>
      <c r="E18" s="16" t="s">
        <v>1732</v>
      </c>
      <c r="F18">
        <v>63</v>
      </c>
    </row>
    <row r="19" spans="1:6">
      <c r="A19" s="20">
        <v>18</v>
      </c>
      <c r="B19" s="16" t="s">
        <v>1733</v>
      </c>
      <c r="C19" s="16" t="s">
        <v>1734</v>
      </c>
      <c r="D19" s="16" t="s">
        <v>1735</v>
      </c>
      <c r="E19" s="16" t="s">
        <v>1693</v>
      </c>
      <c r="F19">
        <v>64</v>
      </c>
    </row>
    <row r="20" spans="1:6">
      <c r="A20" s="20">
        <v>19</v>
      </c>
      <c r="B20" s="16" t="s">
        <v>1736</v>
      </c>
      <c r="C20" s="16" t="s">
        <v>1737</v>
      </c>
      <c r="D20" s="16" t="s">
        <v>1738</v>
      </c>
      <c r="E20" s="16" t="s">
        <v>1739</v>
      </c>
      <c r="F20">
        <v>65</v>
      </c>
    </row>
    <row r="21" spans="1:6">
      <c r="A21" s="20">
        <v>20</v>
      </c>
      <c r="B21" s="16" t="s">
        <v>1740</v>
      </c>
      <c r="C21" s="16" t="s">
        <v>1741</v>
      </c>
      <c r="D21" s="16" t="s">
        <v>1742</v>
      </c>
      <c r="E21" s="16" t="s">
        <v>1743</v>
      </c>
      <c r="F21">
        <v>66</v>
      </c>
    </row>
    <row r="22" spans="1:6">
      <c r="A22" s="20">
        <v>21</v>
      </c>
      <c r="B22" s="16" t="s">
        <v>1744</v>
      </c>
      <c r="C22" s="16" t="s">
        <v>1745</v>
      </c>
      <c r="D22" s="16" t="s">
        <v>1746</v>
      </c>
      <c r="E22" s="16" t="s">
        <v>1693</v>
      </c>
      <c r="F22">
        <v>67</v>
      </c>
    </row>
    <row r="23" spans="1:6">
      <c r="A23" s="20">
        <v>22</v>
      </c>
      <c r="B23" s="16" t="s">
        <v>1747</v>
      </c>
      <c r="C23" s="16" t="s">
        <v>1748</v>
      </c>
      <c r="D23" s="16" t="s">
        <v>1749</v>
      </c>
      <c r="E23" s="16" t="s">
        <v>1750</v>
      </c>
      <c r="F23">
        <v>68</v>
      </c>
    </row>
    <row r="24" spans="1:6">
      <c r="A24" s="20">
        <v>23</v>
      </c>
      <c r="B24" s="16" t="s">
        <v>1751</v>
      </c>
      <c r="C24" s="16" t="s">
        <v>1752</v>
      </c>
      <c r="D24" s="16" t="s">
        <v>1753</v>
      </c>
      <c r="E24" s="16" t="s">
        <v>1754</v>
      </c>
      <c r="F24">
        <v>69</v>
      </c>
    </row>
    <row r="25" spans="1:6">
      <c r="A25" s="20">
        <v>24</v>
      </c>
      <c r="B25" s="16" t="s">
        <v>1755</v>
      </c>
      <c r="C25" s="16" t="s">
        <v>1756</v>
      </c>
      <c r="D25" s="16" t="s">
        <v>1757</v>
      </c>
      <c r="E25" s="16" t="s">
        <v>1758</v>
      </c>
      <c r="F25">
        <v>70</v>
      </c>
    </row>
    <row r="26" spans="1:6">
      <c r="A26" s="20">
        <v>25</v>
      </c>
      <c r="B26" s="16" t="s">
        <v>1759</v>
      </c>
      <c r="C26" s="16" t="s">
        <v>1760</v>
      </c>
      <c r="D26" s="16" t="s">
        <v>1761</v>
      </c>
      <c r="E26" s="16" t="s">
        <v>1762</v>
      </c>
      <c r="F26">
        <v>79</v>
      </c>
    </row>
    <row r="27" spans="1:6">
      <c r="A27" s="20">
        <v>26</v>
      </c>
      <c r="B27" s="16" t="s">
        <v>1763</v>
      </c>
      <c r="C27" s="16" t="s">
        <v>1764</v>
      </c>
      <c r="D27" s="16" t="s">
        <v>1765</v>
      </c>
      <c r="E27" s="16" t="s">
        <v>1693</v>
      </c>
      <c r="F27">
        <v>80</v>
      </c>
    </row>
    <row r="28" spans="1:6">
      <c r="A28" s="20">
        <v>27</v>
      </c>
      <c r="B28" s="16" t="s">
        <v>1766</v>
      </c>
      <c r="C28" s="16" t="s">
        <v>1767</v>
      </c>
      <c r="D28" s="16" t="s">
        <v>1768</v>
      </c>
      <c r="E28" s="16" t="s">
        <v>1769</v>
      </c>
      <c r="F28">
        <v>82</v>
      </c>
    </row>
    <row r="29" spans="1:6">
      <c r="A29" s="20">
        <v>28</v>
      </c>
      <c r="B29" s="16" t="s">
        <v>1770</v>
      </c>
      <c r="C29" s="16" t="s">
        <v>1771</v>
      </c>
      <c r="D29" s="16" t="s">
        <v>1772</v>
      </c>
      <c r="E29" s="16" t="s">
        <v>1773</v>
      </c>
      <c r="F29">
        <v>83</v>
      </c>
    </row>
    <row r="30" spans="1:6">
      <c r="A30" s="20">
        <v>29</v>
      </c>
      <c r="B30" s="16" t="s">
        <v>1774</v>
      </c>
      <c r="C30" s="16" t="s">
        <v>1775</v>
      </c>
      <c r="D30" s="16" t="s">
        <v>1776</v>
      </c>
      <c r="E30" s="16" t="s">
        <v>1777</v>
      </c>
      <c r="F30">
        <v>84</v>
      </c>
    </row>
    <row r="31" spans="1:6">
      <c r="A31" s="20">
        <v>30</v>
      </c>
      <c r="B31" s="16" t="s">
        <v>1778</v>
      </c>
      <c r="C31" s="16" t="s">
        <v>1779</v>
      </c>
      <c r="D31" s="16" t="s">
        <v>1780</v>
      </c>
      <c r="E31" s="16" t="s">
        <v>1781</v>
      </c>
      <c r="F31">
        <v>85</v>
      </c>
    </row>
    <row r="32" spans="1:6">
      <c r="A32" s="20">
        <v>31</v>
      </c>
      <c r="B32" s="16" t="s">
        <v>1782</v>
      </c>
      <c r="C32" s="16" t="s">
        <v>1783</v>
      </c>
      <c r="D32" s="16" t="s">
        <v>1784</v>
      </c>
      <c r="E32" s="16" t="s">
        <v>1785</v>
      </c>
      <c r="F32">
        <v>86</v>
      </c>
    </row>
    <row r="33" spans="1:6">
      <c r="A33" s="20">
        <v>32</v>
      </c>
      <c r="B33" s="16" t="s">
        <v>1786</v>
      </c>
      <c r="C33" s="16" t="s">
        <v>1787</v>
      </c>
      <c r="D33" s="16" t="s">
        <v>1788</v>
      </c>
      <c r="E33" s="16" t="s">
        <v>1789</v>
      </c>
      <c r="F33">
        <v>87</v>
      </c>
    </row>
    <row r="34" spans="1:6">
      <c r="A34" s="20">
        <v>33</v>
      </c>
      <c r="B34" s="16" t="s">
        <v>1790</v>
      </c>
      <c r="C34" s="16" t="s">
        <v>1791</v>
      </c>
      <c r="D34" s="16" t="s">
        <v>1792</v>
      </c>
      <c r="E34" s="16" t="s">
        <v>1693</v>
      </c>
      <c r="F34">
        <v>88</v>
      </c>
    </row>
    <row r="35" spans="1:6">
      <c r="A35" s="20">
        <v>34</v>
      </c>
      <c r="B35" s="16" t="s">
        <v>1793</v>
      </c>
      <c r="C35" s="16" t="s">
        <v>1794</v>
      </c>
      <c r="D35" s="16" t="s">
        <v>1795</v>
      </c>
      <c r="E35" s="16" t="s">
        <v>1796</v>
      </c>
      <c r="F35">
        <v>89</v>
      </c>
    </row>
    <row r="36" spans="1:6">
      <c r="A36" s="20">
        <v>35</v>
      </c>
      <c r="B36" s="16" t="s">
        <v>1797</v>
      </c>
      <c r="C36" s="16" t="s">
        <v>1798</v>
      </c>
      <c r="D36" s="16" t="s">
        <v>1799</v>
      </c>
      <c r="E36" s="16" t="s">
        <v>1800</v>
      </c>
      <c r="F36">
        <v>90</v>
      </c>
    </row>
    <row r="37" spans="1:6">
      <c r="A37" s="20">
        <v>36</v>
      </c>
      <c r="B37" s="16" t="s">
        <v>1801</v>
      </c>
      <c r="C37" s="16" t="s">
        <v>1802</v>
      </c>
      <c r="D37" s="16" t="s">
        <v>1803</v>
      </c>
      <c r="E37" s="16" t="s">
        <v>1693</v>
      </c>
      <c r="F37">
        <v>91</v>
      </c>
    </row>
    <row r="38" spans="1:6">
      <c r="A38" s="20">
        <v>37</v>
      </c>
      <c r="B38" s="16" t="s">
        <v>1804</v>
      </c>
      <c r="C38" s="16" t="s">
        <v>1805</v>
      </c>
      <c r="D38" s="16" t="s">
        <v>1806</v>
      </c>
      <c r="E38" s="16" t="s">
        <v>1807</v>
      </c>
      <c r="F38">
        <v>92</v>
      </c>
    </row>
    <row r="39" spans="1:6">
      <c r="A39" s="20">
        <v>38</v>
      </c>
      <c r="B39" s="16" t="s">
        <v>1808</v>
      </c>
      <c r="C39" s="16" t="s">
        <v>1809</v>
      </c>
      <c r="D39" s="16" t="s">
        <v>1810</v>
      </c>
      <c r="E39" s="16" t="s">
        <v>1811</v>
      </c>
      <c r="F39">
        <v>93</v>
      </c>
    </row>
    <row r="40" spans="1:6">
      <c r="A40" s="20">
        <v>39</v>
      </c>
      <c r="B40" s="16" t="s">
        <v>1812</v>
      </c>
      <c r="C40" s="16" t="s">
        <v>1813</v>
      </c>
      <c r="D40" s="16" t="s">
        <v>1814</v>
      </c>
      <c r="E40" s="16" t="s">
        <v>1815</v>
      </c>
      <c r="F40">
        <v>94</v>
      </c>
    </row>
    <row r="41" spans="1:6">
      <c r="A41" s="20">
        <v>40</v>
      </c>
      <c r="B41" s="16" t="s">
        <v>1816</v>
      </c>
      <c r="C41" s="16" t="s">
        <v>1817</v>
      </c>
      <c r="D41" s="16" t="s">
        <v>1818</v>
      </c>
      <c r="E41" s="16" t="s">
        <v>1693</v>
      </c>
      <c r="F41">
        <v>95</v>
      </c>
    </row>
    <row r="42" spans="1:6">
      <c r="A42" s="20">
        <v>41</v>
      </c>
      <c r="B42" s="16" t="s">
        <v>1819</v>
      </c>
      <c r="C42" s="16" t="s">
        <v>1820</v>
      </c>
      <c r="D42" s="16" t="s">
        <v>1821</v>
      </c>
      <c r="E42" s="16" t="s">
        <v>1822</v>
      </c>
      <c r="F42">
        <v>96</v>
      </c>
    </row>
    <row r="43" spans="1:6">
      <c r="A43" s="20">
        <v>42</v>
      </c>
      <c r="B43" s="16" t="s">
        <v>1823</v>
      </c>
      <c r="C43" s="16" t="s">
        <v>1824</v>
      </c>
      <c r="D43" s="16" t="s">
        <v>1825</v>
      </c>
      <c r="E43" s="16" t="s">
        <v>1826</v>
      </c>
      <c r="F43">
        <v>97</v>
      </c>
    </row>
    <row r="44" spans="1:6">
      <c r="A44" s="20">
        <v>43</v>
      </c>
      <c r="B44" s="16" t="s">
        <v>1827</v>
      </c>
      <c r="C44" s="16" t="s">
        <v>1828</v>
      </c>
      <c r="D44" s="16" t="s">
        <v>1829</v>
      </c>
      <c r="E44" s="16" t="s">
        <v>1693</v>
      </c>
      <c r="F44">
        <v>98</v>
      </c>
    </row>
    <row r="45" spans="1:6">
      <c r="A45" s="20">
        <v>44</v>
      </c>
      <c r="B45" s="16" t="s">
        <v>1830</v>
      </c>
      <c r="C45" s="16" t="s">
        <v>1831</v>
      </c>
      <c r="D45" s="16" t="s">
        <v>1832</v>
      </c>
      <c r="E45" s="16" t="s">
        <v>1833</v>
      </c>
      <c r="F45">
        <v>99</v>
      </c>
    </row>
    <row r="46" spans="1:6">
      <c r="A46" s="20">
        <v>45</v>
      </c>
      <c r="B46" s="16" t="s">
        <v>1834</v>
      </c>
      <c r="C46" s="16" t="s">
        <v>1835</v>
      </c>
      <c r="D46" s="16" t="s">
        <v>1836</v>
      </c>
      <c r="E46" s="16" t="s">
        <v>1837</v>
      </c>
      <c r="F46">
        <v>100</v>
      </c>
    </row>
    <row r="47" spans="1:6">
      <c r="A47" s="20">
        <v>46</v>
      </c>
      <c r="B47" s="16" t="s">
        <v>1838</v>
      </c>
      <c r="C47" s="16" t="s">
        <v>1839</v>
      </c>
      <c r="D47" s="16" t="s">
        <v>1840</v>
      </c>
      <c r="E47" s="16" t="s">
        <v>1841</v>
      </c>
      <c r="F47">
        <v>101</v>
      </c>
    </row>
    <row r="48" spans="1:6">
      <c r="A48" s="20">
        <v>47</v>
      </c>
      <c r="B48" s="16" t="s">
        <v>1842</v>
      </c>
      <c r="C48" s="16" t="s">
        <v>1843</v>
      </c>
      <c r="D48" s="16" t="s">
        <v>1844</v>
      </c>
      <c r="E48" s="16" t="s">
        <v>1845</v>
      </c>
      <c r="F48">
        <v>102</v>
      </c>
    </row>
    <row r="49" spans="1:6">
      <c r="A49" s="20">
        <v>48</v>
      </c>
      <c r="B49" s="16" t="s">
        <v>1846</v>
      </c>
      <c r="C49" s="16" t="s">
        <v>1847</v>
      </c>
      <c r="D49" s="16" t="s">
        <v>1848</v>
      </c>
      <c r="E49" s="16" t="s">
        <v>1849</v>
      </c>
      <c r="F49">
        <v>103</v>
      </c>
    </row>
    <row r="50" spans="1:6">
      <c r="A50" s="20">
        <v>49</v>
      </c>
      <c r="B50" s="16" t="s">
        <v>1850</v>
      </c>
      <c r="C50" s="16" t="s">
        <v>1851</v>
      </c>
      <c r="D50" s="16" t="s">
        <v>1852</v>
      </c>
      <c r="E50" s="16" t="s">
        <v>1853</v>
      </c>
      <c r="F50">
        <v>104</v>
      </c>
    </row>
    <row r="51" spans="1:6">
      <c r="A51" s="20">
        <v>50</v>
      </c>
      <c r="B51" s="16" t="s">
        <v>1854</v>
      </c>
      <c r="C51" s="16" t="s">
        <v>1855</v>
      </c>
      <c r="D51" s="16" t="s">
        <v>1856</v>
      </c>
      <c r="E51" s="16" t="s">
        <v>1693</v>
      </c>
      <c r="F51">
        <v>106</v>
      </c>
    </row>
    <row r="52" spans="1:6">
      <c r="A52" s="20">
        <v>51</v>
      </c>
      <c r="B52" s="16" t="s">
        <v>1857</v>
      </c>
      <c r="C52" s="16" t="s">
        <v>1858</v>
      </c>
      <c r="D52" s="16" t="s">
        <v>1859</v>
      </c>
      <c r="E52" s="16" t="s">
        <v>1860</v>
      </c>
      <c r="F52">
        <v>107</v>
      </c>
    </row>
    <row r="53" spans="1:6">
      <c r="A53" s="20">
        <v>52</v>
      </c>
      <c r="B53" s="16" t="s">
        <v>1861</v>
      </c>
      <c r="C53" s="16" t="s">
        <v>1862</v>
      </c>
      <c r="D53" s="16" t="s">
        <v>1863</v>
      </c>
      <c r="E53" s="16" t="s">
        <v>1864</v>
      </c>
      <c r="F53">
        <v>108</v>
      </c>
    </row>
    <row r="54" spans="1:6">
      <c r="A54" s="20">
        <v>53</v>
      </c>
      <c r="B54" s="16" t="s">
        <v>1717</v>
      </c>
      <c r="C54" s="16" t="s">
        <v>1865</v>
      </c>
      <c r="D54" s="16" t="s">
        <v>1866</v>
      </c>
      <c r="E54" s="16" t="s">
        <v>1867</v>
      </c>
      <c r="F54">
        <v>109</v>
      </c>
    </row>
    <row r="55" spans="1:6">
      <c r="A55" s="20">
        <v>54</v>
      </c>
      <c r="B55" s="16" t="s">
        <v>1868</v>
      </c>
      <c r="C55" s="16" t="s">
        <v>1869</v>
      </c>
      <c r="D55" s="16" t="s">
        <v>1870</v>
      </c>
      <c r="E55" s="16" t="s">
        <v>1871</v>
      </c>
      <c r="F55">
        <v>110</v>
      </c>
    </row>
    <row r="56" spans="1:6">
      <c r="A56" s="20">
        <v>55</v>
      </c>
      <c r="B56" s="16" t="s">
        <v>1872</v>
      </c>
      <c r="C56" s="16" t="s">
        <v>1873</v>
      </c>
      <c r="D56" s="16" t="s">
        <v>1874</v>
      </c>
      <c r="E56" s="16" t="s">
        <v>1875</v>
      </c>
      <c r="F56">
        <v>112</v>
      </c>
    </row>
    <row r="57" spans="1:6">
      <c r="A57" s="20">
        <v>56</v>
      </c>
      <c r="B57" s="16" t="s">
        <v>1774</v>
      </c>
      <c r="C57" s="16" t="s">
        <v>1876</v>
      </c>
      <c r="D57" s="16" t="s">
        <v>1877</v>
      </c>
      <c r="E57" s="16" t="s">
        <v>1878</v>
      </c>
      <c r="F57">
        <v>113</v>
      </c>
    </row>
    <row r="58" spans="1:6">
      <c r="A58" s="20">
        <v>57</v>
      </c>
      <c r="B58" s="16" t="s">
        <v>313</v>
      </c>
      <c r="C58" s="16" t="s">
        <v>1879</v>
      </c>
      <c r="D58" s="16" t="s">
        <v>1880</v>
      </c>
      <c r="E58" s="16" t="s">
        <v>1881</v>
      </c>
      <c r="F58">
        <v>114</v>
      </c>
    </row>
    <row r="59" spans="1:6">
      <c r="A59" s="20">
        <v>58</v>
      </c>
      <c r="B59" s="16" t="s">
        <v>1882</v>
      </c>
      <c r="C59" s="16" t="s">
        <v>1883</v>
      </c>
      <c r="D59" s="16" t="s">
        <v>1884</v>
      </c>
      <c r="E59" s="16" t="s">
        <v>1885</v>
      </c>
      <c r="F59">
        <v>115</v>
      </c>
    </row>
    <row r="60" spans="1:6">
      <c r="A60" s="20">
        <v>59</v>
      </c>
      <c r="B60" s="16" t="s">
        <v>1824</v>
      </c>
      <c r="C60" s="16" t="s">
        <v>1886</v>
      </c>
      <c r="D60" s="16" t="s">
        <v>1887</v>
      </c>
      <c r="E60" s="16" t="s">
        <v>1693</v>
      </c>
      <c r="F60">
        <v>116</v>
      </c>
    </row>
    <row r="61" spans="1:6">
      <c r="A61" s="20">
        <v>60</v>
      </c>
      <c r="B61" s="16" t="s">
        <v>1888</v>
      </c>
      <c r="C61" s="16" t="s">
        <v>1889</v>
      </c>
      <c r="D61" s="16" t="s">
        <v>1890</v>
      </c>
      <c r="E61" s="16" t="s">
        <v>1693</v>
      </c>
      <c r="F61">
        <v>118</v>
      </c>
    </row>
    <row r="62" spans="1:6">
      <c r="A62" s="20">
        <v>61</v>
      </c>
      <c r="B62" s="16" t="s">
        <v>1891</v>
      </c>
      <c r="C62" s="16" t="s">
        <v>1892</v>
      </c>
      <c r="D62" s="16" t="s">
        <v>1893</v>
      </c>
      <c r="E62" s="16" t="s">
        <v>1894</v>
      </c>
      <c r="F62">
        <v>119</v>
      </c>
    </row>
    <row r="63" spans="1:6">
      <c r="A63" s="20">
        <v>62</v>
      </c>
      <c r="B63" s="16" t="s">
        <v>1895</v>
      </c>
      <c r="C63" s="16" t="s">
        <v>1896</v>
      </c>
      <c r="D63" s="16" t="s">
        <v>1897</v>
      </c>
      <c r="E63" s="16" t="s">
        <v>1898</v>
      </c>
      <c r="F63">
        <v>120</v>
      </c>
    </row>
    <row r="64" spans="1:6">
      <c r="A64" s="20">
        <v>63</v>
      </c>
      <c r="B64" s="16" t="s">
        <v>1899</v>
      </c>
      <c r="C64" s="16" t="s">
        <v>1900</v>
      </c>
      <c r="D64" s="16" t="s">
        <v>1901</v>
      </c>
      <c r="E64" s="16" t="s">
        <v>1902</v>
      </c>
      <c r="F64">
        <v>121</v>
      </c>
    </row>
    <row r="65" spans="1:6">
      <c r="A65" s="20">
        <v>64</v>
      </c>
      <c r="B65" s="16" t="s">
        <v>1861</v>
      </c>
      <c r="C65" s="16" t="s">
        <v>1903</v>
      </c>
      <c r="D65" s="16" t="s">
        <v>1904</v>
      </c>
      <c r="E65" s="16" t="s">
        <v>1905</v>
      </c>
      <c r="F65">
        <v>122</v>
      </c>
    </row>
    <row r="66" spans="1:6">
      <c r="A66" s="20">
        <v>65</v>
      </c>
      <c r="B66" s="16" t="s">
        <v>1906</v>
      </c>
      <c r="C66" s="16" t="s">
        <v>1907</v>
      </c>
      <c r="D66" s="16" t="s">
        <v>1908</v>
      </c>
      <c r="E66" s="16" t="s">
        <v>1909</v>
      </c>
      <c r="F66">
        <v>123</v>
      </c>
    </row>
    <row r="67" spans="1:6">
      <c r="A67" s="20">
        <v>66</v>
      </c>
      <c r="B67" s="16" t="s">
        <v>1910</v>
      </c>
      <c r="C67" s="16" t="s">
        <v>1911</v>
      </c>
      <c r="D67" s="16" t="s">
        <v>1912</v>
      </c>
      <c r="E67" s="16" t="s">
        <v>1913</v>
      </c>
      <c r="F67">
        <v>125</v>
      </c>
    </row>
    <row r="68" spans="1:6">
      <c r="A68" s="20">
        <v>67</v>
      </c>
      <c r="B68" s="16" t="s">
        <v>1914</v>
      </c>
      <c r="C68" s="16" t="s">
        <v>1915</v>
      </c>
      <c r="D68" s="16" t="s">
        <v>1916</v>
      </c>
      <c r="E68" s="16" t="s">
        <v>1917</v>
      </c>
      <c r="F68">
        <v>126</v>
      </c>
    </row>
    <row r="69" spans="1:6">
      <c r="A69" s="20">
        <v>68</v>
      </c>
      <c r="B69" s="16" t="s">
        <v>1918</v>
      </c>
      <c r="C69" s="16" t="s">
        <v>1919</v>
      </c>
      <c r="D69" s="16" t="s">
        <v>1920</v>
      </c>
      <c r="E69" s="16" t="s">
        <v>1921</v>
      </c>
      <c r="F69">
        <v>127</v>
      </c>
    </row>
    <row r="70" spans="1:6">
      <c r="A70" s="20">
        <v>69</v>
      </c>
      <c r="B70" s="16" t="s">
        <v>1922</v>
      </c>
      <c r="C70" s="16" t="s">
        <v>1923</v>
      </c>
      <c r="D70" s="16" t="s">
        <v>1924</v>
      </c>
      <c r="E70" s="16" t="s">
        <v>1925</v>
      </c>
      <c r="F70">
        <v>128</v>
      </c>
    </row>
    <row r="71" spans="1:6">
      <c r="A71" s="20">
        <v>70</v>
      </c>
      <c r="B71" s="16" t="s">
        <v>1926</v>
      </c>
      <c r="C71" s="16" t="s">
        <v>1927</v>
      </c>
      <c r="D71" s="16" t="s">
        <v>1928</v>
      </c>
      <c r="E71" s="16" t="s">
        <v>1929</v>
      </c>
      <c r="F71">
        <v>129</v>
      </c>
    </row>
    <row r="72" spans="1:6">
      <c r="A72" s="20">
        <v>71</v>
      </c>
      <c r="B72" s="16" t="s">
        <v>1930</v>
      </c>
      <c r="C72" s="16" t="s">
        <v>1931</v>
      </c>
      <c r="D72" s="16" t="s">
        <v>1932</v>
      </c>
      <c r="E72" s="16" t="s">
        <v>1933</v>
      </c>
      <c r="F72">
        <v>131</v>
      </c>
    </row>
    <row r="73" spans="1:6">
      <c r="A73" s="20">
        <v>72</v>
      </c>
      <c r="B73" s="16" t="s">
        <v>1934</v>
      </c>
      <c r="C73" s="16" t="s">
        <v>1935</v>
      </c>
      <c r="D73" s="16" t="s">
        <v>1936</v>
      </c>
      <c r="E73" s="16" t="s">
        <v>1937</v>
      </c>
      <c r="F73">
        <v>132</v>
      </c>
    </row>
    <row r="74" spans="1:6">
      <c r="A74" s="20">
        <v>73</v>
      </c>
      <c r="B74" s="16" t="s">
        <v>1759</v>
      </c>
      <c r="C74" s="16" t="s">
        <v>1938</v>
      </c>
      <c r="D74" s="16" t="s">
        <v>1939</v>
      </c>
      <c r="E74" s="16" t="s">
        <v>1940</v>
      </c>
      <c r="F74">
        <v>135</v>
      </c>
    </row>
    <row r="75" spans="1:6">
      <c r="A75" s="20">
        <v>74</v>
      </c>
      <c r="B75" s="16" t="s">
        <v>1941</v>
      </c>
      <c r="C75" s="16" t="s">
        <v>1942</v>
      </c>
      <c r="D75" s="16" t="s">
        <v>1943</v>
      </c>
      <c r="E75" s="16" t="s">
        <v>1944</v>
      </c>
      <c r="F75">
        <v>136</v>
      </c>
    </row>
    <row r="76" spans="1:6">
      <c r="A76" s="20">
        <v>75</v>
      </c>
      <c r="B76" s="16" t="s">
        <v>1945</v>
      </c>
      <c r="C76" s="16" t="s">
        <v>1946</v>
      </c>
      <c r="D76" s="16" t="s">
        <v>1947</v>
      </c>
      <c r="E76" s="16" t="s">
        <v>1948</v>
      </c>
      <c r="F76">
        <v>137</v>
      </c>
    </row>
    <row r="77" spans="1:6">
      <c r="A77" s="20">
        <v>76</v>
      </c>
      <c r="B77" s="16" t="s">
        <v>1949</v>
      </c>
      <c r="C77" s="16" t="s">
        <v>1950</v>
      </c>
      <c r="D77" s="16" t="s">
        <v>1951</v>
      </c>
      <c r="E77" s="16" t="s">
        <v>1952</v>
      </c>
      <c r="F77">
        <v>138</v>
      </c>
    </row>
    <row r="78" spans="1:6">
      <c r="A78" s="20">
        <v>77</v>
      </c>
      <c r="B78" s="16" t="s">
        <v>1953</v>
      </c>
      <c r="C78" s="16" t="s">
        <v>1954</v>
      </c>
      <c r="D78" s="16" t="s">
        <v>1955</v>
      </c>
      <c r="E78" s="16" t="s">
        <v>1956</v>
      </c>
      <c r="F78">
        <v>139</v>
      </c>
    </row>
    <row r="79" spans="1:6">
      <c r="A79" s="20">
        <v>78</v>
      </c>
      <c r="B79" s="16" t="s">
        <v>1957</v>
      </c>
      <c r="C79" s="16" t="s">
        <v>1958</v>
      </c>
      <c r="D79" s="16" t="s">
        <v>1959</v>
      </c>
      <c r="E79" s="16" t="s">
        <v>1960</v>
      </c>
      <c r="F79">
        <v>140</v>
      </c>
    </row>
    <row r="80" spans="1:6">
      <c r="A80" s="20">
        <v>79</v>
      </c>
      <c r="B80" s="16" t="s">
        <v>1961</v>
      </c>
      <c r="C80" s="16" t="s">
        <v>1962</v>
      </c>
      <c r="D80" s="16" t="s">
        <v>1963</v>
      </c>
      <c r="E80" s="16" t="s">
        <v>1964</v>
      </c>
      <c r="F80">
        <v>141</v>
      </c>
    </row>
    <row r="81" spans="1:6">
      <c r="A81" s="20">
        <v>80</v>
      </c>
      <c r="B81" s="16" t="s">
        <v>1888</v>
      </c>
      <c r="C81" s="16" t="s">
        <v>1965</v>
      </c>
      <c r="D81" s="16" t="s">
        <v>1966</v>
      </c>
      <c r="E81" s="16" t="s">
        <v>1967</v>
      </c>
      <c r="F81">
        <v>142</v>
      </c>
    </row>
    <row r="82" spans="1:6">
      <c r="A82" s="20">
        <v>81</v>
      </c>
      <c r="B82" s="16" t="s">
        <v>1968</v>
      </c>
      <c r="C82" s="16" t="s">
        <v>1969</v>
      </c>
      <c r="D82" s="16" t="s">
        <v>1970</v>
      </c>
      <c r="E82" s="16" t="s">
        <v>1971</v>
      </c>
      <c r="F82">
        <v>143</v>
      </c>
    </row>
    <row r="83" spans="1:6">
      <c r="A83" s="20">
        <v>82</v>
      </c>
      <c r="B83" s="16" t="s">
        <v>1972</v>
      </c>
      <c r="C83" s="16" t="s">
        <v>1973</v>
      </c>
      <c r="D83" s="16" t="s">
        <v>1974</v>
      </c>
      <c r="E83" s="16" t="s">
        <v>1693</v>
      </c>
      <c r="F83">
        <v>144</v>
      </c>
    </row>
    <row r="84" spans="1:6">
      <c r="A84" s="20">
        <v>83</v>
      </c>
      <c r="B84" s="16" t="s">
        <v>1975</v>
      </c>
      <c r="C84" s="16" t="s">
        <v>1976</v>
      </c>
      <c r="D84" s="16" t="s">
        <v>1977</v>
      </c>
      <c r="E84" s="16" t="s">
        <v>1978</v>
      </c>
      <c r="F84">
        <v>145</v>
      </c>
    </row>
    <row r="85" spans="1:6">
      <c r="A85" s="20">
        <v>84</v>
      </c>
      <c r="B85" s="16" t="s">
        <v>1979</v>
      </c>
      <c r="C85" s="16" t="s">
        <v>1980</v>
      </c>
      <c r="D85" s="16" t="s">
        <v>1981</v>
      </c>
      <c r="E85" s="16" t="s">
        <v>1982</v>
      </c>
      <c r="F85">
        <v>147</v>
      </c>
    </row>
    <row r="86" spans="1:6">
      <c r="A86" s="20">
        <v>85</v>
      </c>
      <c r="B86" s="16" t="s">
        <v>1983</v>
      </c>
      <c r="C86" s="16" t="s">
        <v>1984</v>
      </c>
      <c r="D86" s="16" t="s">
        <v>1985</v>
      </c>
      <c r="E86" s="16" t="s">
        <v>1693</v>
      </c>
      <c r="F86">
        <v>148</v>
      </c>
    </row>
    <row r="87" spans="1:6">
      <c r="A87" s="20">
        <v>86</v>
      </c>
      <c r="B87" s="16" t="s">
        <v>1986</v>
      </c>
      <c r="C87" s="16" t="s">
        <v>1987</v>
      </c>
      <c r="D87" s="16" t="s">
        <v>1988</v>
      </c>
      <c r="E87" s="16" t="s">
        <v>1989</v>
      </c>
      <c r="F87">
        <v>149</v>
      </c>
    </row>
    <row r="88" spans="1:6">
      <c r="A88" s="20">
        <v>87</v>
      </c>
      <c r="B88" s="16" t="s">
        <v>1990</v>
      </c>
      <c r="C88" s="16" t="s">
        <v>1991</v>
      </c>
      <c r="D88" s="16" t="s">
        <v>1992</v>
      </c>
      <c r="E88" s="16" t="s">
        <v>1993</v>
      </c>
      <c r="F88">
        <v>151</v>
      </c>
    </row>
    <row r="89" spans="1:6">
      <c r="A89" s="20">
        <v>88</v>
      </c>
      <c r="B89" s="16" t="s">
        <v>1994</v>
      </c>
      <c r="C89" s="16" t="s">
        <v>1995</v>
      </c>
      <c r="D89" s="16" t="s">
        <v>1996</v>
      </c>
      <c r="E89" s="16" t="s">
        <v>1997</v>
      </c>
      <c r="F89">
        <v>152</v>
      </c>
    </row>
    <row r="90" spans="1:6">
      <c r="A90" s="20">
        <v>89</v>
      </c>
      <c r="B90" s="16" t="s">
        <v>1998</v>
      </c>
      <c r="C90" s="16" t="s">
        <v>1999</v>
      </c>
      <c r="D90" s="16" t="s">
        <v>2000</v>
      </c>
      <c r="E90" s="16" t="s">
        <v>2001</v>
      </c>
      <c r="F90">
        <v>153</v>
      </c>
    </row>
    <row r="91" spans="1:6">
      <c r="A91" s="20">
        <v>90</v>
      </c>
      <c r="B91" s="16" t="s">
        <v>2002</v>
      </c>
      <c r="C91" s="16" t="s">
        <v>2003</v>
      </c>
      <c r="D91" s="16" t="s">
        <v>2004</v>
      </c>
      <c r="E91" s="16" t="s">
        <v>1693</v>
      </c>
      <c r="F91">
        <v>154</v>
      </c>
    </row>
    <row r="92" spans="1:6">
      <c r="A92" s="20">
        <v>91</v>
      </c>
      <c r="B92" s="16" t="s">
        <v>2005</v>
      </c>
      <c r="C92" s="16" t="s">
        <v>2006</v>
      </c>
      <c r="D92" s="16" t="s">
        <v>2007</v>
      </c>
      <c r="E92" s="16" t="s">
        <v>1693</v>
      </c>
      <c r="F92">
        <v>155</v>
      </c>
    </row>
    <row r="93" spans="1:6">
      <c r="A93" s="20">
        <v>92</v>
      </c>
      <c r="B93" s="16" t="s">
        <v>2008</v>
      </c>
      <c r="C93" s="16" t="s">
        <v>1910</v>
      </c>
      <c r="D93" s="16" t="s">
        <v>2009</v>
      </c>
      <c r="E93" s="16" t="s">
        <v>1693</v>
      </c>
      <c r="F93">
        <v>156</v>
      </c>
    </row>
    <row r="94" spans="1:6">
      <c r="A94" s="20">
        <v>93</v>
      </c>
      <c r="B94" s="16" t="s">
        <v>2010</v>
      </c>
      <c r="C94" s="16" t="s">
        <v>2011</v>
      </c>
      <c r="D94" s="16" t="s">
        <v>2012</v>
      </c>
      <c r="E94" s="16" t="s">
        <v>2013</v>
      </c>
      <c r="F94">
        <v>157</v>
      </c>
    </row>
    <row r="95" spans="1:6">
      <c r="A95" s="20">
        <v>94</v>
      </c>
      <c r="B95" s="16" t="s">
        <v>2014</v>
      </c>
      <c r="C95" s="16" t="s">
        <v>2015</v>
      </c>
      <c r="D95" s="16" t="s">
        <v>2016</v>
      </c>
      <c r="E95" s="16" t="s">
        <v>2017</v>
      </c>
      <c r="F95">
        <v>158</v>
      </c>
    </row>
    <row r="96" spans="1:6">
      <c r="A96" s="20">
        <v>95</v>
      </c>
      <c r="B96" s="16" t="s">
        <v>2018</v>
      </c>
      <c r="C96" s="16" t="s">
        <v>2019</v>
      </c>
      <c r="D96" s="16" t="s">
        <v>2020</v>
      </c>
      <c r="E96" s="16" t="s">
        <v>2021</v>
      </c>
    </row>
    <row r="97" spans="1:5">
      <c r="A97" s="20">
        <v>96</v>
      </c>
      <c r="B97" s="16" t="s">
        <v>2022</v>
      </c>
      <c r="C97" s="16" t="s">
        <v>2023</v>
      </c>
      <c r="D97" s="16" t="s">
        <v>2024</v>
      </c>
      <c r="E97" s="16" t="s">
        <v>2025</v>
      </c>
    </row>
    <row r="98" spans="1:5">
      <c r="A98" s="20">
        <v>97</v>
      </c>
      <c r="B98" s="16" t="s">
        <v>2026</v>
      </c>
      <c r="C98" s="16" t="s">
        <v>2027</v>
      </c>
      <c r="D98" s="16" t="s">
        <v>2028</v>
      </c>
      <c r="E98" s="16" t="s">
        <v>2029</v>
      </c>
    </row>
    <row r="99" spans="1:5">
      <c r="A99" s="20">
        <v>98</v>
      </c>
      <c r="B99" s="16" t="s">
        <v>2030</v>
      </c>
      <c r="C99" s="16" t="s">
        <v>1831</v>
      </c>
      <c r="D99" s="16" t="s">
        <v>2031</v>
      </c>
      <c r="E99" s="16" t="s">
        <v>2032</v>
      </c>
    </row>
    <row r="100" spans="1:5">
      <c r="A100" s="20">
        <v>99</v>
      </c>
      <c r="B100" s="16" t="s">
        <v>2033</v>
      </c>
      <c r="C100" s="16" t="s">
        <v>2034</v>
      </c>
      <c r="D100" s="16" t="s">
        <v>2035</v>
      </c>
      <c r="E100" s="16" t="s">
        <v>2036</v>
      </c>
    </row>
    <row r="101" spans="1:5">
      <c r="A101" s="20">
        <v>100</v>
      </c>
      <c r="B101" s="16" t="s">
        <v>2037</v>
      </c>
      <c r="C101" s="16" t="s">
        <v>2038</v>
      </c>
      <c r="D101" s="16" t="s">
        <v>2039</v>
      </c>
      <c r="E101" s="16" t="s">
        <v>2040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330F0-BD5F-4D52-B356-CEE85A12A4F8}">
  <dimension ref="B3:E5"/>
  <sheetViews>
    <sheetView workbookViewId="0"/>
  </sheetViews>
  <sheetFormatPr defaultColWidth="9" defaultRowHeight="14.4"/>
  <cols>
    <col min="2" max="2" width="13.5546875" style="5" customWidth="1"/>
    <col min="3" max="3" width="9.88671875" customWidth="1"/>
    <col min="4" max="4" width="11.44140625" customWidth="1"/>
    <col min="5" max="5" width="16.88671875" customWidth="1"/>
  </cols>
  <sheetData>
    <row r="3" spans="2:5">
      <c r="B3" t="s">
        <v>2277</v>
      </c>
      <c r="C3" t="s">
        <v>2276</v>
      </c>
      <c r="D3" t="s">
        <v>2275</v>
      </c>
      <c r="E3" t="s">
        <v>2278</v>
      </c>
    </row>
    <row r="4" spans="2:5">
      <c r="B4" s="5">
        <v>1</v>
      </c>
      <c r="C4" s="16" t="s">
        <v>2274</v>
      </c>
      <c r="D4" s="76" t="s">
        <v>1611</v>
      </c>
      <c r="E4" s="66">
        <v>0.08</v>
      </c>
    </row>
    <row r="5" spans="2:5">
      <c r="B5" s="5">
        <v>2</v>
      </c>
      <c r="C5" s="16" t="s">
        <v>1199</v>
      </c>
      <c r="D5" s="76" t="s">
        <v>2279</v>
      </c>
      <c r="E5" s="66">
        <v>0.18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3:I115"/>
  <sheetViews>
    <sheetView workbookViewId="0">
      <selection activeCell="A2" sqref="A2"/>
    </sheetView>
  </sheetViews>
  <sheetFormatPr defaultColWidth="9" defaultRowHeight="14.4"/>
  <cols>
    <col min="1" max="1" width="10.44140625" style="5" bestFit="1" customWidth="1"/>
    <col min="2" max="2" width="17.44140625" style="5" bestFit="1" customWidth="1"/>
    <col min="3" max="3" width="18" bestFit="1" customWidth="1"/>
    <col min="4" max="4" width="20" bestFit="1" customWidth="1"/>
    <col min="5" max="5" width="18.6640625" bestFit="1" customWidth="1"/>
    <col min="6" max="6" width="19.44140625" bestFit="1" customWidth="1"/>
    <col min="7" max="7" width="19.6640625" bestFit="1" customWidth="1"/>
    <col min="8" max="8" width="20.6640625" bestFit="1" customWidth="1"/>
    <col min="9" max="9" width="14.33203125" customWidth="1"/>
    <col min="10" max="10" width="10.44140625" bestFit="1" customWidth="1"/>
    <col min="11" max="11" width="9.33203125" customWidth="1"/>
  </cols>
  <sheetData>
    <row r="3" spans="1:9">
      <c r="H3" s="77">
        <v>0.1</v>
      </c>
    </row>
    <row r="4" spans="1:9">
      <c r="A4" s="11" t="s">
        <v>2088</v>
      </c>
      <c r="B4" s="74" t="s">
        <v>136</v>
      </c>
      <c r="C4" s="11" t="s">
        <v>2089</v>
      </c>
      <c r="D4" s="11" t="s">
        <v>2090</v>
      </c>
      <c r="E4" s="11" t="s">
        <v>2091</v>
      </c>
      <c r="F4" s="11" t="s">
        <v>2092</v>
      </c>
      <c r="G4" s="11" t="s">
        <v>2093</v>
      </c>
      <c r="H4" s="62" t="s">
        <v>2247</v>
      </c>
      <c r="I4" s="11" t="s">
        <v>2242</v>
      </c>
    </row>
    <row r="5" spans="1:9">
      <c r="A5" s="5">
        <v>1</v>
      </c>
      <c r="B5" s="5">
        <v>1</v>
      </c>
      <c r="C5" s="2">
        <v>14.345842117220601</v>
      </c>
      <c r="D5" s="2">
        <v>26.701017233949901</v>
      </c>
      <c r="E5" s="12">
        <v>33.540133725441102</v>
      </c>
      <c r="F5" s="2">
        <v>14.942546388243199</v>
      </c>
      <c r="G5" s="2">
        <v>33.978667598530102</v>
      </c>
      <c r="H5" s="2">
        <v>26.5651619155724</v>
      </c>
      <c r="I5" s="60">
        <v>45327</v>
      </c>
    </row>
    <row r="6" spans="1:9">
      <c r="A6" s="5">
        <v>2</v>
      </c>
      <c r="B6" s="5">
        <v>1</v>
      </c>
      <c r="C6" s="2">
        <v>4.7367285585113796</v>
      </c>
      <c r="D6" s="2">
        <v>33.557306988721997</v>
      </c>
      <c r="E6" s="12">
        <v>15.8480989461512</v>
      </c>
      <c r="F6" s="2">
        <v>10.296588246742299</v>
      </c>
      <c r="G6" s="2">
        <v>6.8804006809111202</v>
      </c>
      <c r="H6" s="2">
        <v>15.4955232266178</v>
      </c>
      <c r="I6" s="60">
        <v>45328</v>
      </c>
    </row>
    <row r="7" spans="1:9">
      <c r="A7" s="5">
        <v>3</v>
      </c>
      <c r="B7" s="5">
        <v>1</v>
      </c>
      <c r="C7" s="2">
        <v>6.7887144945566602</v>
      </c>
      <c r="D7" s="2">
        <v>26.884252371775201</v>
      </c>
      <c r="E7" s="12">
        <v>34.816178962781301</v>
      </c>
      <c r="F7" s="2">
        <v>21.848081446249498</v>
      </c>
      <c r="G7" s="2">
        <v>19.875537683249799</v>
      </c>
      <c r="H7" s="2">
        <v>34.9222232686026</v>
      </c>
      <c r="I7" s="60">
        <v>45329</v>
      </c>
    </row>
    <row r="8" spans="1:9">
      <c r="A8" s="5">
        <v>4</v>
      </c>
      <c r="B8" s="5">
        <v>2</v>
      </c>
      <c r="C8" s="2">
        <v>28.8905346898975</v>
      </c>
      <c r="D8" s="2">
        <v>11.176480522889401</v>
      </c>
      <c r="E8" s="12">
        <v>59.668779306338102</v>
      </c>
      <c r="F8" s="2">
        <v>14.8310135497973</v>
      </c>
      <c r="G8" s="2">
        <v>9.8710262670259503</v>
      </c>
      <c r="H8" s="2">
        <v>7.34120149739545</v>
      </c>
      <c r="I8" s="60">
        <v>45330</v>
      </c>
    </row>
    <row r="9" spans="1:9">
      <c r="A9" s="5">
        <v>5</v>
      </c>
      <c r="B9" s="5">
        <v>2</v>
      </c>
      <c r="C9" s="2">
        <v>23.806555897320901</v>
      </c>
      <c r="D9" s="2">
        <v>18.6367171806092</v>
      </c>
      <c r="E9" s="12">
        <v>46.4029706735273</v>
      </c>
      <c r="F9" s="2">
        <v>23.366441482065099</v>
      </c>
      <c r="G9" s="2">
        <v>28.734969462767001</v>
      </c>
      <c r="H9" s="2">
        <v>19.047910944461002</v>
      </c>
      <c r="I9" s="60">
        <v>45331</v>
      </c>
    </row>
    <row r="10" spans="1:9">
      <c r="A10" s="5">
        <v>6</v>
      </c>
      <c r="B10" s="5">
        <v>2</v>
      </c>
      <c r="C10" s="2">
        <v>37.826907353097297</v>
      </c>
      <c r="D10" s="2">
        <v>47.110127202840999</v>
      </c>
      <c r="E10" s="12">
        <v>55.074448605312703</v>
      </c>
      <c r="F10" s="2">
        <v>27.775658001438799</v>
      </c>
      <c r="G10" s="2">
        <v>14.720065512799</v>
      </c>
      <c r="H10" s="2">
        <v>26.8831262877051</v>
      </c>
      <c r="I10" s="60">
        <v>45332</v>
      </c>
    </row>
    <row r="11" spans="1:9">
      <c r="A11" s="5">
        <v>7</v>
      </c>
      <c r="B11" s="5">
        <v>3</v>
      </c>
      <c r="C11" s="2">
        <v>30.3966982912135</v>
      </c>
      <c r="D11" s="2">
        <v>25.348033888050299</v>
      </c>
      <c r="E11" s="12">
        <v>49.207447460733299</v>
      </c>
      <c r="F11" s="2">
        <v>30.195207618718101</v>
      </c>
      <c r="G11" s="2">
        <v>7.2015526622624604</v>
      </c>
      <c r="H11" s="2">
        <v>28.0847369769367</v>
      </c>
      <c r="I11" s="60">
        <v>45333</v>
      </c>
    </row>
    <row r="12" spans="1:9">
      <c r="A12" s="5">
        <v>8</v>
      </c>
      <c r="B12" s="5">
        <v>3</v>
      </c>
      <c r="C12" s="2">
        <v>30.996854046211201</v>
      </c>
      <c r="D12" s="2">
        <v>25.912990556154</v>
      </c>
      <c r="E12" s="12">
        <v>42.165651231909798</v>
      </c>
      <c r="F12" s="2">
        <v>15.317701948875101</v>
      </c>
      <c r="G12" s="2">
        <v>24.6317853655455</v>
      </c>
      <c r="H12" s="2">
        <v>15.118057489360799</v>
      </c>
      <c r="I12" s="60">
        <v>45334</v>
      </c>
    </row>
    <row r="13" spans="1:9">
      <c r="A13" s="5">
        <v>9</v>
      </c>
      <c r="B13" s="5">
        <v>3</v>
      </c>
      <c r="C13" s="2">
        <v>26.473515523827501</v>
      </c>
      <c r="D13" s="2">
        <v>42.636862841714603</v>
      </c>
      <c r="E13" s="12">
        <v>12.710066783258</v>
      </c>
      <c r="F13" s="2">
        <v>13.6114624638113</v>
      </c>
      <c r="G13" s="2">
        <v>29.985404135989899</v>
      </c>
      <c r="H13" s="2">
        <v>31.7378953791717</v>
      </c>
      <c r="I13" s="60">
        <v>45335</v>
      </c>
    </row>
    <row r="14" spans="1:9">
      <c r="A14" s="5">
        <v>10</v>
      </c>
      <c r="C14" s="2">
        <v>8.0476762638797901</v>
      </c>
      <c r="D14" s="2">
        <v>15.7906268079253</v>
      </c>
      <c r="E14" s="12">
        <v>62.495791858316302</v>
      </c>
      <c r="F14" s="2">
        <v>26.3255033429602</v>
      </c>
      <c r="G14" s="2">
        <v>10.2603847834914</v>
      </c>
      <c r="H14" s="2">
        <v>19.405458908929798</v>
      </c>
      <c r="I14" s="60">
        <v>45336</v>
      </c>
    </row>
    <row r="15" spans="1:9">
      <c r="A15" s="5">
        <v>11</v>
      </c>
      <c r="C15" s="2">
        <v>6.2944786325812903</v>
      </c>
      <c r="D15" s="2">
        <v>12.5376239827033</v>
      </c>
      <c r="E15" s="12">
        <v>42.464015596729404</v>
      </c>
      <c r="F15" s="2">
        <v>14.0084390996486</v>
      </c>
      <c r="G15" s="2">
        <v>36.296416051272899</v>
      </c>
      <c r="H15" s="2">
        <v>37.171168892566399</v>
      </c>
      <c r="I15" s="60">
        <v>45337</v>
      </c>
    </row>
    <row r="16" spans="1:9">
      <c r="A16" s="5">
        <v>12</v>
      </c>
      <c r="C16" s="2">
        <v>5.5771523402887899</v>
      </c>
      <c r="D16" s="2">
        <v>34.590915714572802</v>
      </c>
      <c r="E16" s="12">
        <v>57.889052343556799</v>
      </c>
      <c r="F16" s="2">
        <v>29.433147954480599</v>
      </c>
      <c r="G16" s="2">
        <v>31.879962310191001</v>
      </c>
      <c r="H16" s="2">
        <v>18.6699820458816</v>
      </c>
      <c r="I16" s="60">
        <v>45338</v>
      </c>
    </row>
    <row r="17" spans="1:9">
      <c r="A17" s="5">
        <v>13</v>
      </c>
      <c r="C17" s="2">
        <v>11.787224229397699</v>
      </c>
      <c r="D17" s="2">
        <v>26.6113040873513</v>
      </c>
      <c r="E17" s="12">
        <v>2.8202346748250098</v>
      </c>
      <c r="F17" s="2">
        <v>27.606714242914698</v>
      </c>
      <c r="G17" s="2">
        <v>27.878058300147501</v>
      </c>
      <c r="H17" s="2">
        <v>11.814169418261701</v>
      </c>
      <c r="I17" s="60">
        <v>45339</v>
      </c>
    </row>
    <row r="18" spans="1:9">
      <c r="A18" s="5">
        <v>14</v>
      </c>
      <c r="C18" s="2">
        <v>33.907995101554</v>
      </c>
      <c r="D18" s="2">
        <v>12.466821685227201</v>
      </c>
      <c r="E18" s="12">
        <v>31.137758882819401</v>
      </c>
      <c r="F18" s="2">
        <v>11.844065522903801</v>
      </c>
      <c r="G18" s="2">
        <v>9.0064585243081403</v>
      </c>
      <c r="H18" s="2">
        <v>9.6381582614581198</v>
      </c>
      <c r="I18" s="60">
        <v>45340</v>
      </c>
    </row>
    <row r="19" spans="1:9">
      <c r="A19" s="5">
        <v>15</v>
      </c>
      <c r="C19" s="2">
        <v>30.284827078870499</v>
      </c>
      <c r="D19" s="2">
        <v>35.864288912044501</v>
      </c>
      <c r="E19" s="12">
        <v>22.523478859401401</v>
      </c>
      <c r="F19" s="2">
        <v>16.123557734690898</v>
      </c>
      <c r="G19" s="2">
        <v>15.638728452159899</v>
      </c>
      <c r="H19" s="2">
        <v>11.2765990289431</v>
      </c>
      <c r="I19" s="60">
        <v>45341</v>
      </c>
    </row>
    <row r="20" spans="1:9">
      <c r="A20" s="5">
        <v>16</v>
      </c>
      <c r="C20" s="2">
        <v>38.022054155529098</v>
      </c>
      <c r="D20" s="2">
        <v>35.932031095791601</v>
      </c>
      <c r="E20" s="12">
        <v>47.659016000716598</v>
      </c>
      <c r="F20" s="2">
        <v>19.052903127373899</v>
      </c>
      <c r="G20" s="2">
        <v>31.420454642106801</v>
      </c>
      <c r="H20" s="2">
        <v>28.336375724484402</v>
      </c>
      <c r="I20" s="60">
        <v>45342</v>
      </c>
    </row>
    <row r="21" spans="1:9">
      <c r="A21" s="5">
        <v>17</v>
      </c>
      <c r="C21" s="2">
        <v>7.7698917539923302</v>
      </c>
      <c r="D21" s="2">
        <v>20.466047475412701</v>
      </c>
      <c r="E21" s="12">
        <v>38.1043694742228</v>
      </c>
      <c r="F21" s="2">
        <v>9.5614009431910194</v>
      </c>
      <c r="G21" s="2">
        <v>25.565352541700999</v>
      </c>
      <c r="H21" s="2">
        <v>33.7965323767773</v>
      </c>
      <c r="I21" s="60">
        <v>45343</v>
      </c>
    </row>
    <row r="22" spans="1:9">
      <c r="A22" s="5">
        <v>18</v>
      </c>
      <c r="C22" s="2">
        <v>34.805983838664098</v>
      </c>
      <c r="D22" s="2">
        <v>7.9738944641792999</v>
      </c>
      <c r="E22" s="12">
        <v>8.8709320262858693</v>
      </c>
      <c r="F22" s="2">
        <v>10.951823388850199</v>
      </c>
      <c r="G22" s="2">
        <v>30.426476720349299</v>
      </c>
      <c r="H22" s="2">
        <v>26.6032335502405</v>
      </c>
      <c r="I22" s="60">
        <v>45344</v>
      </c>
    </row>
    <row r="23" spans="1:9">
      <c r="A23" s="5">
        <v>19</v>
      </c>
      <c r="C23" s="2">
        <v>9.3804552887264308</v>
      </c>
      <c r="D23" s="2">
        <v>46.440400823917699</v>
      </c>
      <c r="E23" s="12">
        <v>58.409502741911801</v>
      </c>
      <c r="F23" s="2">
        <v>30.892370508637001</v>
      </c>
      <c r="G23" s="2">
        <v>23.5533724260887</v>
      </c>
      <c r="H23" s="2">
        <v>12.878223801704801</v>
      </c>
      <c r="I23" s="60">
        <v>45345</v>
      </c>
    </row>
    <row r="24" spans="1:9">
      <c r="A24" s="5">
        <v>20</v>
      </c>
      <c r="C24" s="2">
        <v>24.613418605532502</v>
      </c>
      <c r="D24" s="2">
        <v>8.8536869409398502</v>
      </c>
      <c r="E24" s="12">
        <v>49.756345734834397</v>
      </c>
      <c r="F24" s="2">
        <v>25.050437194065601</v>
      </c>
      <c r="G24" s="2">
        <v>13.683675791952099</v>
      </c>
      <c r="H24" s="2">
        <v>20.832045352317898</v>
      </c>
      <c r="I24" s="60">
        <v>45346</v>
      </c>
    </row>
    <row r="25" spans="1:9">
      <c r="A25" s="5">
        <v>21</v>
      </c>
      <c r="C25" s="2">
        <v>13.023599796304399</v>
      </c>
      <c r="D25" s="2">
        <v>27.583685148494101</v>
      </c>
      <c r="E25" s="12">
        <v>33.810105490040598</v>
      </c>
      <c r="F25" s="2">
        <v>30.272898600412798</v>
      </c>
      <c r="G25" s="2">
        <v>28.587115179422401</v>
      </c>
      <c r="H25" s="2">
        <v>7.0068567856474404</v>
      </c>
      <c r="I25" s="60">
        <v>45347</v>
      </c>
    </row>
    <row r="26" spans="1:9">
      <c r="A26" s="5">
        <v>22</v>
      </c>
      <c r="C26" s="2">
        <v>35.644020955225301</v>
      </c>
      <c r="D26" s="2">
        <v>30.965607568762898</v>
      </c>
      <c r="E26" s="12">
        <v>46.165213722558597</v>
      </c>
      <c r="F26" s="2">
        <v>15.210046635290199</v>
      </c>
      <c r="G26" s="2">
        <v>26.897418169719401</v>
      </c>
      <c r="H26" s="2">
        <v>38.600458226076398</v>
      </c>
      <c r="I26" s="60">
        <v>45348</v>
      </c>
    </row>
    <row r="27" spans="1:9">
      <c r="A27" s="5">
        <v>23</v>
      </c>
      <c r="C27" s="2">
        <v>12.4153111093948</v>
      </c>
      <c r="D27" s="2">
        <v>23.909049368465801</v>
      </c>
      <c r="E27" s="12">
        <v>18.173830725010099</v>
      </c>
      <c r="F27" s="2">
        <v>23.803770219797201</v>
      </c>
      <c r="G27" s="2">
        <v>28.552299868645498</v>
      </c>
      <c r="H27" s="2">
        <v>12.150954602907801</v>
      </c>
      <c r="I27" s="60">
        <v>45349</v>
      </c>
    </row>
    <row r="28" spans="1:9">
      <c r="A28" s="5">
        <v>24</v>
      </c>
      <c r="C28" s="2">
        <v>35.445256992751098</v>
      </c>
      <c r="D28" s="2">
        <v>46.500792997960602</v>
      </c>
      <c r="E28" s="12">
        <v>35.676532629003397</v>
      </c>
      <c r="F28" s="2">
        <v>8.1932145347776508</v>
      </c>
      <c r="G28" s="2">
        <v>12.2652466624972</v>
      </c>
      <c r="H28" s="2">
        <v>33.488278563017403</v>
      </c>
      <c r="I28" s="60">
        <v>45350</v>
      </c>
    </row>
    <row r="29" spans="1:9">
      <c r="A29" s="5">
        <v>25</v>
      </c>
      <c r="C29" s="2">
        <v>9.6466139034292109</v>
      </c>
      <c r="D29" s="2">
        <v>39.807751401530197</v>
      </c>
      <c r="E29" s="12">
        <v>38.376548407129299</v>
      </c>
      <c r="F29" s="2">
        <v>17.863775454711501</v>
      </c>
      <c r="G29" s="2">
        <v>28.080051014169999</v>
      </c>
      <c r="H29" s="2">
        <v>5.7243436041618798</v>
      </c>
      <c r="I29" s="60">
        <v>45351</v>
      </c>
    </row>
    <row r="30" spans="1:9">
      <c r="A30" s="5">
        <v>26</v>
      </c>
      <c r="C30" s="2">
        <v>10.1103664764514</v>
      </c>
      <c r="D30" s="2">
        <v>6.2108030079057404</v>
      </c>
      <c r="E30" s="12">
        <v>24.070711865175198</v>
      </c>
      <c r="F30" s="2">
        <v>9.8026730805243307</v>
      </c>
      <c r="G30" s="2">
        <v>28.822947490501001</v>
      </c>
      <c r="H30" s="2">
        <v>13.4750530569065</v>
      </c>
      <c r="I30" s="60">
        <v>45352</v>
      </c>
    </row>
    <row r="31" spans="1:9">
      <c r="A31" s="5">
        <v>27</v>
      </c>
      <c r="C31" s="2">
        <v>9.6729820404259499</v>
      </c>
      <c r="D31" s="2">
        <v>30.394998331107299</v>
      </c>
      <c r="E31" s="12">
        <v>34.6875931925819</v>
      </c>
      <c r="F31" s="2">
        <v>25.424213095297201</v>
      </c>
      <c r="G31" s="2">
        <v>26.3685928859719</v>
      </c>
      <c r="H31" s="2">
        <v>36.332107133549101</v>
      </c>
      <c r="I31" s="60">
        <v>45353</v>
      </c>
    </row>
    <row r="32" spans="1:9">
      <c r="A32" s="5">
        <v>28</v>
      </c>
      <c r="C32" s="2">
        <v>14.031159398898399</v>
      </c>
      <c r="D32" s="2">
        <v>7.0665601993088796</v>
      </c>
      <c r="E32" s="12">
        <v>40.277673338687897</v>
      </c>
      <c r="F32" s="2">
        <v>29.077221327632401</v>
      </c>
      <c r="G32" s="2">
        <v>25.586942256739299</v>
      </c>
      <c r="H32" s="2">
        <v>33.6680982403673</v>
      </c>
      <c r="I32" s="60">
        <v>45354</v>
      </c>
    </row>
    <row r="33" spans="1:9">
      <c r="A33" s="5">
        <v>29</v>
      </c>
      <c r="C33" s="2">
        <v>29.150648074823199</v>
      </c>
      <c r="D33" s="2">
        <v>11.737187465121901</v>
      </c>
      <c r="E33" s="12">
        <v>37.961133038287002</v>
      </c>
      <c r="F33" s="2">
        <v>15.941290614047899</v>
      </c>
      <c r="G33" s="2">
        <v>25.162162182674098</v>
      </c>
      <c r="H33" s="2">
        <v>33.649290740760399</v>
      </c>
      <c r="I33" s="60">
        <v>45355</v>
      </c>
    </row>
    <row r="34" spans="1:9">
      <c r="A34" s="5">
        <v>30</v>
      </c>
      <c r="C34" s="2">
        <v>27.5168880474201</v>
      </c>
      <c r="D34" s="2">
        <v>27.304362429309201</v>
      </c>
      <c r="E34" s="12">
        <v>41.142016517042698</v>
      </c>
      <c r="F34" s="2">
        <v>29.485080121932299</v>
      </c>
      <c r="G34" s="2">
        <v>27.837772186328198</v>
      </c>
      <c r="H34" s="2">
        <v>33.8458144452242</v>
      </c>
      <c r="I34" s="60">
        <v>45356</v>
      </c>
    </row>
    <row r="35" spans="1:9">
      <c r="A35" s="5">
        <v>31</v>
      </c>
      <c r="C35" s="2">
        <v>24.479482237302602</v>
      </c>
      <c r="D35" s="2">
        <v>21.117643993467802</v>
      </c>
      <c r="E35" s="12">
        <v>7.6814878268140303</v>
      </c>
      <c r="F35" s="2">
        <v>28.442843019782</v>
      </c>
      <c r="G35" s="2">
        <v>34.329371024431502</v>
      </c>
      <c r="H35" s="2">
        <v>28.8484569040221</v>
      </c>
      <c r="I35" s="60">
        <v>45357</v>
      </c>
    </row>
    <row r="36" spans="1:9">
      <c r="A36" s="5">
        <v>32</v>
      </c>
      <c r="C36" s="2">
        <v>30.875949292471901</v>
      </c>
      <c r="D36" s="2">
        <v>45.803540846038203</v>
      </c>
      <c r="E36" s="12">
        <v>16.7209721965915</v>
      </c>
      <c r="F36" s="2">
        <v>12.8994680365722</v>
      </c>
      <c r="G36" s="2">
        <v>12.8137809658664</v>
      </c>
      <c r="H36" s="2">
        <v>32.912732012022097</v>
      </c>
      <c r="I36" s="60">
        <v>45358</v>
      </c>
    </row>
    <row r="37" spans="1:9">
      <c r="A37" s="5">
        <v>33</v>
      </c>
      <c r="C37" s="2">
        <v>22.9606405686906</v>
      </c>
      <c r="D37" s="2">
        <v>19.481861503064401</v>
      </c>
      <c r="E37" s="12">
        <v>19.083688272235801</v>
      </c>
      <c r="F37" s="2">
        <v>15.421902895365999</v>
      </c>
      <c r="G37" s="2">
        <v>17.454193954509101</v>
      </c>
      <c r="H37" s="2">
        <v>26.568451574047899</v>
      </c>
      <c r="I37" s="60">
        <v>45359</v>
      </c>
    </row>
    <row r="38" spans="1:9">
      <c r="A38" s="5">
        <v>34</v>
      </c>
      <c r="C38" s="2">
        <v>21.8751099428755</v>
      </c>
      <c r="D38" s="2">
        <v>27.969260358429398</v>
      </c>
      <c r="E38" s="12">
        <v>9.7316877227847307</v>
      </c>
      <c r="F38" s="2">
        <v>26.225746555395901</v>
      </c>
      <c r="G38" s="2">
        <v>35.008194440636302</v>
      </c>
      <c r="H38" s="2">
        <v>29.563771456804499</v>
      </c>
      <c r="I38" s="60">
        <v>45360</v>
      </c>
    </row>
    <row r="39" spans="1:9">
      <c r="A39" s="5">
        <v>35</v>
      </c>
      <c r="C39" s="2">
        <v>4.8088402579762999</v>
      </c>
      <c r="D39" s="2">
        <v>15.1090524325136</v>
      </c>
      <c r="E39" s="12">
        <v>45.565683816006299</v>
      </c>
      <c r="F39" s="2">
        <v>23.405884116642799</v>
      </c>
      <c r="G39" s="2">
        <v>37.345119586327897</v>
      </c>
      <c r="H39" s="2">
        <v>11.342993781875601</v>
      </c>
      <c r="I39" s="60">
        <v>45361</v>
      </c>
    </row>
    <row r="40" spans="1:9">
      <c r="A40" s="5">
        <v>36</v>
      </c>
      <c r="C40" s="2">
        <v>16.236333919349001</v>
      </c>
      <c r="D40" s="2">
        <v>45.495553126426998</v>
      </c>
      <c r="E40" s="12">
        <v>41.813489982471602</v>
      </c>
      <c r="F40" s="2">
        <v>13.595151298945099</v>
      </c>
      <c r="G40" s="2">
        <v>11.9398137552172</v>
      </c>
      <c r="H40" s="2">
        <v>17.273452362135099</v>
      </c>
      <c r="I40" s="60">
        <v>45362</v>
      </c>
    </row>
    <row r="41" spans="1:9">
      <c r="A41" s="5">
        <v>37</v>
      </c>
      <c r="C41" s="2">
        <v>35.6544620682063</v>
      </c>
      <c r="D41" s="2">
        <v>12.4787888240946</v>
      </c>
      <c r="E41" s="12">
        <v>4.5998263615555102</v>
      </c>
      <c r="F41" s="2">
        <v>10.2332330604254</v>
      </c>
      <c r="G41" s="2">
        <v>29.898138872890499</v>
      </c>
      <c r="H41" s="2">
        <v>21.4313878685556</v>
      </c>
      <c r="I41" s="60">
        <v>45363</v>
      </c>
    </row>
    <row r="42" spans="1:9">
      <c r="A42" s="5">
        <v>38</v>
      </c>
      <c r="C42" s="2">
        <v>31.162797285534399</v>
      </c>
      <c r="D42" s="2">
        <v>18.850147564723301</v>
      </c>
      <c r="E42" s="12">
        <v>32.685652387882897</v>
      </c>
      <c r="F42" s="2">
        <v>17.214771109952501</v>
      </c>
      <c r="G42" s="2">
        <v>18.0523065999779</v>
      </c>
      <c r="H42" s="2">
        <v>16.674574170958302</v>
      </c>
      <c r="I42" s="60">
        <v>45364</v>
      </c>
    </row>
    <row r="43" spans="1:9">
      <c r="A43" s="5">
        <v>39</v>
      </c>
      <c r="C43" s="2">
        <v>16.092454007681798</v>
      </c>
      <c r="D43" s="2">
        <v>32.339376127718502</v>
      </c>
      <c r="E43" s="12">
        <v>3.2810942554582199</v>
      </c>
      <c r="F43" s="2">
        <v>16.5618339536937</v>
      </c>
      <c r="G43" s="2">
        <v>17.7853553258443</v>
      </c>
      <c r="H43" s="2">
        <v>13.5531448121955</v>
      </c>
      <c r="I43" s="60">
        <v>45365</v>
      </c>
    </row>
    <row r="44" spans="1:9">
      <c r="A44" s="5">
        <v>40</v>
      </c>
      <c r="C44" s="2">
        <v>9.90736729051482</v>
      </c>
      <c r="D44" s="2">
        <v>33.441270036518603</v>
      </c>
      <c r="E44" s="12">
        <v>3.5091079334912201</v>
      </c>
      <c r="F44" s="2">
        <v>21.547299614854801</v>
      </c>
      <c r="G44" s="2">
        <v>37.892145961926602</v>
      </c>
      <c r="H44" s="2">
        <v>30.477997385233301</v>
      </c>
      <c r="I44" s="60">
        <v>45366</v>
      </c>
    </row>
    <row r="45" spans="1:9">
      <c r="A45" s="5">
        <v>41</v>
      </c>
      <c r="C45" s="2">
        <v>31.909654414860899</v>
      </c>
      <c r="D45" s="2">
        <v>17.209876238166601</v>
      </c>
      <c r="E45" s="12">
        <v>12.613609454405299</v>
      </c>
      <c r="F45" s="2">
        <v>20.276896982286701</v>
      </c>
      <c r="G45" s="2">
        <v>23.3104446506754</v>
      </c>
      <c r="H45" s="2">
        <v>23.0999590593972</v>
      </c>
      <c r="I45" s="60">
        <v>45367</v>
      </c>
    </row>
    <row r="46" spans="1:9">
      <c r="A46" s="5">
        <v>42</v>
      </c>
      <c r="C46" s="2">
        <v>13.397615037342099</v>
      </c>
      <c r="D46" s="2">
        <v>18.451346283863199</v>
      </c>
      <c r="E46" s="12">
        <v>20.966339404104598</v>
      </c>
      <c r="F46" s="2">
        <v>13.047248776087899</v>
      </c>
      <c r="G46" s="2">
        <v>9.2939595305542895</v>
      </c>
      <c r="H46" s="2">
        <v>8.6842715093248799</v>
      </c>
      <c r="I46" s="60">
        <v>45368</v>
      </c>
    </row>
    <row r="47" spans="1:9">
      <c r="A47" s="5">
        <v>43</v>
      </c>
      <c r="C47" s="2">
        <v>6.9692281764191399</v>
      </c>
      <c r="D47" s="2">
        <v>18.437844826352599</v>
      </c>
      <c r="E47" s="12">
        <v>52.536923571491897</v>
      </c>
      <c r="F47" s="2">
        <v>24.482207219017699</v>
      </c>
      <c r="G47" s="2">
        <v>20.366486204632</v>
      </c>
      <c r="H47" s="2">
        <v>14.008811992681601</v>
      </c>
      <c r="I47" s="60">
        <v>45369</v>
      </c>
    </row>
    <row r="48" spans="1:9">
      <c r="A48" s="5">
        <v>44</v>
      </c>
      <c r="C48" s="2">
        <v>38.453432865690402</v>
      </c>
      <c r="D48" s="2">
        <v>35.855513761862397</v>
      </c>
      <c r="E48" s="12">
        <v>66.770455204795198</v>
      </c>
      <c r="F48" s="2">
        <v>15.514449203811999</v>
      </c>
      <c r="G48" s="2">
        <v>35.448925017488698</v>
      </c>
      <c r="H48" s="2">
        <v>19.928989156076099</v>
      </c>
      <c r="I48" s="60">
        <v>45370</v>
      </c>
    </row>
    <row r="49" spans="1:9">
      <c r="A49" s="5">
        <v>45</v>
      </c>
      <c r="C49" s="2">
        <v>32.178394790475899</v>
      </c>
      <c r="D49" s="2">
        <v>13.426998566838501</v>
      </c>
      <c r="E49" s="12">
        <v>64.518796437689204</v>
      </c>
      <c r="F49" s="2">
        <v>27.262124270746501</v>
      </c>
      <c r="G49" s="2">
        <v>24.0389246557178</v>
      </c>
      <c r="H49" s="2">
        <v>35.584802087575</v>
      </c>
      <c r="I49" s="60">
        <v>45371</v>
      </c>
    </row>
    <row r="50" spans="1:9">
      <c r="A50" s="5">
        <v>46</v>
      </c>
      <c r="C50" s="2">
        <v>26.986397277852198</v>
      </c>
      <c r="D50" s="2">
        <v>21.333485973271401</v>
      </c>
      <c r="E50" s="12">
        <v>45.220563745178502</v>
      </c>
      <c r="F50" s="2">
        <v>8.8139350677720891</v>
      </c>
      <c r="G50" s="2">
        <v>31.8073704899241</v>
      </c>
      <c r="H50" s="2">
        <v>8.9014733318717596</v>
      </c>
      <c r="I50" s="60">
        <v>45372</v>
      </c>
    </row>
    <row r="51" spans="1:9">
      <c r="A51" s="5">
        <v>47</v>
      </c>
      <c r="C51" s="2">
        <v>4.9609293733773399</v>
      </c>
      <c r="D51" s="2">
        <v>11.973123715284901</v>
      </c>
      <c r="E51" s="12">
        <v>17.218237124136799</v>
      </c>
      <c r="F51" s="2">
        <v>22.597964497133699</v>
      </c>
      <c r="G51" s="2">
        <v>35.592322529619501</v>
      </c>
      <c r="H51" s="2">
        <v>13.211277295093099</v>
      </c>
      <c r="I51" s="60">
        <v>45373</v>
      </c>
    </row>
    <row r="52" spans="1:9">
      <c r="A52" s="5">
        <v>48</v>
      </c>
      <c r="C52" s="2">
        <v>10.882272136840699</v>
      </c>
      <c r="D52" s="2">
        <v>35.380047845969003</v>
      </c>
      <c r="E52" s="12">
        <v>32.424286374975701</v>
      </c>
      <c r="F52" s="2">
        <v>22.850206271129</v>
      </c>
      <c r="G52" s="2">
        <v>12.978334457500299</v>
      </c>
      <c r="H52" s="2">
        <v>27.183554088508401</v>
      </c>
      <c r="I52" s="60">
        <v>45374</v>
      </c>
    </row>
    <row r="53" spans="1:9">
      <c r="A53" s="5">
        <v>49</v>
      </c>
      <c r="C53" s="2">
        <v>36.993257546234901</v>
      </c>
      <c r="D53" s="2">
        <v>40.323525822778898</v>
      </c>
      <c r="E53" s="12">
        <v>43.165839724542003</v>
      </c>
      <c r="F53" s="2">
        <v>17.862742440815602</v>
      </c>
      <c r="G53" s="2">
        <v>30.414162019658399</v>
      </c>
      <c r="H53" s="2">
        <v>5.4134324914030296</v>
      </c>
      <c r="I53" s="60">
        <v>45375</v>
      </c>
    </row>
    <row r="54" spans="1:9">
      <c r="A54" s="5">
        <v>50</v>
      </c>
      <c r="C54" s="2">
        <v>12.571590107033099</v>
      </c>
      <c r="D54" s="2">
        <v>10.410471557358401</v>
      </c>
      <c r="E54" s="12">
        <v>43.406441901477002</v>
      </c>
      <c r="F54" s="2">
        <v>9.3786857018109995</v>
      </c>
      <c r="G54" s="2">
        <v>6.0099063564924098</v>
      </c>
      <c r="H54" s="2">
        <v>16.525110871062701</v>
      </c>
      <c r="I54" s="60">
        <v>45376</v>
      </c>
    </row>
    <row r="55" spans="1:9">
      <c r="A55" s="5">
        <v>51</v>
      </c>
      <c r="C55" s="2">
        <v>18.121522298881001</v>
      </c>
      <c r="D55" s="2">
        <v>26.584827206125201</v>
      </c>
      <c r="E55" s="12">
        <v>10.290164372668301</v>
      </c>
      <c r="F55" s="2">
        <v>19.232229770065601</v>
      </c>
      <c r="G55" s="2">
        <v>9.0421518730497894</v>
      </c>
      <c r="H55" s="2">
        <v>22.817737016551199</v>
      </c>
      <c r="I55" s="60">
        <v>45377</v>
      </c>
    </row>
    <row r="56" spans="1:9">
      <c r="A56" s="5">
        <v>52</v>
      </c>
      <c r="C56" s="2">
        <v>30.5262536856427</v>
      </c>
      <c r="D56" s="2">
        <v>10.3885997699938</v>
      </c>
      <c r="E56" s="12">
        <v>49.378696512563302</v>
      </c>
      <c r="F56" s="2">
        <v>13.9136278983929</v>
      </c>
      <c r="G56" s="2">
        <v>6.5060227925881202</v>
      </c>
      <c r="H56" s="2">
        <v>8.0592507434647196</v>
      </c>
      <c r="I56" s="60">
        <v>45378</v>
      </c>
    </row>
    <row r="57" spans="1:9">
      <c r="A57" s="5">
        <v>53</v>
      </c>
      <c r="C57" s="2">
        <v>9.2342855863726001</v>
      </c>
      <c r="D57" s="2">
        <v>6.1004627982992004</v>
      </c>
      <c r="E57" s="12">
        <v>56.086238496984002</v>
      </c>
      <c r="F57" s="2">
        <v>9.5784857462565096</v>
      </c>
      <c r="G57" s="2">
        <v>23.874954714468501</v>
      </c>
      <c r="H57" s="2">
        <v>34.799891586801898</v>
      </c>
      <c r="I57" s="60">
        <v>45379</v>
      </c>
    </row>
    <row r="58" spans="1:9">
      <c r="A58" s="5">
        <v>54</v>
      </c>
      <c r="C58" s="2">
        <v>28.193476626886898</v>
      </c>
      <c r="D58" s="2">
        <v>36.399721485487198</v>
      </c>
      <c r="E58" s="12">
        <v>28.529675015616402</v>
      </c>
      <c r="F58" s="2">
        <v>20.9917125539327</v>
      </c>
      <c r="G58" s="2">
        <v>23.1480067346506</v>
      </c>
      <c r="H58" s="2">
        <v>22.9780759034597</v>
      </c>
      <c r="I58" s="60">
        <v>45380</v>
      </c>
    </row>
    <row r="59" spans="1:9">
      <c r="A59" s="5">
        <v>55</v>
      </c>
      <c r="C59" s="2">
        <v>24.866583417023101</v>
      </c>
      <c r="D59" s="2">
        <v>34.856294033135001</v>
      </c>
      <c r="E59" s="12">
        <v>59.776112437872101</v>
      </c>
      <c r="F59" s="2">
        <v>17.279654043838601</v>
      </c>
      <c r="G59" s="2">
        <v>12.4486150317215</v>
      </c>
      <c r="H59" s="2">
        <v>35.699896901481601</v>
      </c>
      <c r="I59" s="60">
        <v>45381</v>
      </c>
    </row>
    <row r="60" spans="1:9">
      <c r="A60" s="5">
        <v>56</v>
      </c>
      <c r="C60" s="2">
        <v>10.835982898599999</v>
      </c>
      <c r="D60" s="2">
        <v>25.034343110129502</v>
      </c>
      <c r="E60" s="12">
        <v>4.6044285933895299</v>
      </c>
      <c r="F60" s="2">
        <v>17.932515861932401</v>
      </c>
      <c r="G60" s="2">
        <v>9.2563217528687893</v>
      </c>
      <c r="H60" s="2">
        <v>27.061981770442699</v>
      </c>
      <c r="I60" s="60">
        <v>45382</v>
      </c>
    </row>
    <row r="61" spans="1:9">
      <c r="A61" s="5">
        <v>57</v>
      </c>
      <c r="C61" s="2">
        <v>10.5724363635663</v>
      </c>
      <c r="D61" s="2">
        <v>35.905033364084701</v>
      </c>
      <c r="E61" s="12">
        <v>13.275435337010199</v>
      </c>
      <c r="F61" s="2">
        <v>13.6953755473619</v>
      </c>
      <c r="G61" s="2">
        <v>27.663362020335001</v>
      </c>
      <c r="H61" s="2">
        <v>6.2229763869177503</v>
      </c>
      <c r="I61" s="60">
        <v>45383</v>
      </c>
    </row>
    <row r="62" spans="1:9">
      <c r="A62" s="5">
        <v>58</v>
      </c>
      <c r="C62" s="2">
        <v>38.558482521611801</v>
      </c>
      <c r="D62" s="2">
        <v>19.367989357954102</v>
      </c>
      <c r="E62" s="12">
        <v>24.893973159956602</v>
      </c>
      <c r="F62" s="2">
        <v>12.2008476136482</v>
      </c>
      <c r="G62" s="2">
        <v>11.499360260287901</v>
      </c>
      <c r="H62" s="2">
        <v>18.954591335002199</v>
      </c>
      <c r="I62" s="60">
        <v>45384</v>
      </c>
    </row>
    <row r="63" spans="1:9">
      <c r="A63" s="5">
        <v>59</v>
      </c>
      <c r="C63" s="2">
        <v>14.817473728000801</v>
      </c>
      <c r="D63" s="2">
        <v>47.298472916174099</v>
      </c>
      <c r="E63" s="12">
        <v>29.143788777452301</v>
      </c>
      <c r="F63" s="2">
        <v>25.411461430631402</v>
      </c>
      <c r="G63" s="2">
        <v>32.664189687951001</v>
      </c>
      <c r="H63" s="2">
        <v>15.803770053699299</v>
      </c>
      <c r="I63" s="60">
        <v>45385</v>
      </c>
    </row>
    <row r="64" spans="1:9">
      <c r="A64" s="5">
        <v>60</v>
      </c>
      <c r="C64" s="2">
        <v>24.070866734316201</v>
      </c>
      <c r="D64" s="2">
        <v>17.751555550580601</v>
      </c>
      <c r="E64" s="12">
        <v>52.253614555690497</v>
      </c>
      <c r="F64" s="2">
        <v>8.9711769517027502</v>
      </c>
      <c r="G64" s="2">
        <v>6.2686505794696901</v>
      </c>
      <c r="H64" s="2">
        <v>22.994756154417999</v>
      </c>
      <c r="I64" s="60">
        <v>45386</v>
      </c>
    </row>
    <row r="65" spans="1:9">
      <c r="A65" s="5">
        <v>61</v>
      </c>
      <c r="C65" s="2">
        <v>4.7302082904939198</v>
      </c>
      <c r="D65" s="2">
        <v>9.3948760457112002</v>
      </c>
      <c r="E65" s="12">
        <v>11.994019266672</v>
      </c>
      <c r="F65" s="2">
        <v>12.0853098014413</v>
      </c>
      <c r="G65" s="2">
        <v>23.303413995737099</v>
      </c>
      <c r="H65" s="2">
        <v>19.650495735896602</v>
      </c>
      <c r="I65" s="60">
        <v>45387</v>
      </c>
    </row>
    <row r="66" spans="1:9">
      <c r="A66" s="5">
        <v>62</v>
      </c>
      <c r="C66" s="2">
        <v>18.501427114895499</v>
      </c>
      <c r="D66" s="2">
        <v>32.215119023770697</v>
      </c>
      <c r="E66" s="12">
        <v>66.086675374518606</v>
      </c>
      <c r="F66" s="2">
        <v>24.741474513642999</v>
      </c>
      <c r="G66" s="2">
        <v>6.2573662598902304</v>
      </c>
      <c r="H66" s="2">
        <v>32.444901814063797</v>
      </c>
      <c r="I66" s="60">
        <v>45388</v>
      </c>
    </row>
    <row r="67" spans="1:9">
      <c r="A67" s="5">
        <v>63</v>
      </c>
      <c r="C67" s="2">
        <v>28.269478189868501</v>
      </c>
      <c r="D67" s="2">
        <v>12.954954768450399</v>
      </c>
      <c r="E67" s="12">
        <v>58.898702342678</v>
      </c>
      <c r="F67" s="2">
        <v>8.7035613805592398</v>
      </c>
      <c r="G67" s="2">
        <v>33.0248528028864</v>
      </c>
      <c r="H67" s="2">
        <v>9.7745097331765596</v>
      </c>
      <c r="I67" s="60">
        <v>45389</v>
      </c>
    </row>
    <row r="68" spans="1:9">
      <c r="A68" s="5">
        <v>64</v>
      </c>
      <c r="C68" s="2">
        <v>21.055380093140599</v>
      </c>
      <c r="D68" s="2">
        <v>35.309066706714198</v>
      </c>
      <c r="E68" s="12">
        <v>46.337430389141197</v>
      </c>
      <c r="F68" s="2">
        <v>21.705891843479598</v>
      </c>
      <c r="G68" s="2">
        <v>14.8281802421716</v>
      </c>
      <c r="H68" s="2">
        <v>18.682445639705598</v>
      </c>
      <c r="I68" s="60">
        <v>45390</v>
      </c>
    </row>
    <row r="69" spans="1:9">
      <c r="A69" s="5">
        <v>65</v>
      </c>
      <c r="C69" s="2">
        <v>36.439609258242498</v>
      </c>
      <c r="D69" s="2">
        <v>19.016073327135501</v>
      </c>
      <c r="E69" s="12">
        <v>65.857263114924095</v>
      </c>
      <c r="F69" s="2">
        <v>18.835237145506401</v>
      </c>
      <c r="G69" s="2">
        <v>31.776650299236898</v>
      </c>
      <c r="H69" s="2">
        <v>17.272560773368198</v>
      </c>
      <c r="I69" s="60">
        <v>45391</v>
      </c>
    </row>
    <row r="70" spans="1:9">
      <c r="A70" s="5">
        <v>66</v>
      </c>
      <c r="C70" s="2">
        <v>21.316725876934601</v>
      </c>
      <c r="D70" s="2">
        <v>46.405938875541104</v>
      </c>
      <c r="E70" s="12">
        <v>3.2681495013997002</v>
      </c>
      <c r="F70" s="2">
        <v>23.583134788903301</v>
      </c>
      <c r="G70" s="2">
        <v>37.249318943597203</v>
      </c>
      <c r="H70" s="2">
        <v>24.947211332356002</v>
      </c>
      <c r="I70" s="60">
        <v>45392</v>
      </c>
    </row>
    <row r="71" spans="1:9">
      <c r="A71" s="5">
        <v>67</v>
      </c>
      <c r="C71" s="2">
        <v>7.6379719880850203</v>
      </c>
      <c r="D71" s="2">
        <v>23.9158519316058</v>
      </c>
      <c r="E71" s="12">
        <v>3.51912535478457</v>
      </c>
      <c r="F71" s="2">
        <v>17.012932911117499</v>
      </c>
      <c r="G71" s="2">
        <v>10.195250604967001</v>
      </c>
      <c r="H71" s="2">
        <v>28.4460224555616</v>
      </c>
      <c r="I71" s="60">
        <v>45393</v>
      </c>
    </row>
    <row r="72" spans="1:9">
      <c r="A72" s="5">
        <v>68</v>
      </c>
      <c r="C72" s="2">
        <v>29.127568803495201</v>
      </c>
      <c r="D72" s="2">
        <v>24.7256520148003</v>
      </c>
      <c r="E72" s="12">
        <v>26.656478400794999</v>
      </c>
      <c r="F72" s="2">
        <v>20.804255097548999</v>
      </c>
      <c r="G72" s="2">
        <v>8.9534214591045895</v>
      </c>
      <c r="H72" s="2">
        <v>13.26870534351</v>
      </c>
      <c r="I72" s="60">
        <v>45394</v>
      </c>
    </row>
    <row r="73" spans="1:9">
      <c r="A73" s="5">
        <v>69</v>
      </c>
      <c r="C73" s="2">
        <v>35.6384688970547</v>
      </c>
      <c r="D73" s="2">
        <v>6.1704870762714901</v>
      </c>
      <c r="E73" s="12">
        <v>20.174228666976202</v>
      </c>
      <c r="F73" s="2">
        <v>21.574227437676299</v>
      </c>
      <c r="G73" s="2">
        <v>31.093187530078801</v>
      </c>
      <c r="H73" s="2">
        <v>6.9621783203771903</v>
      </c>
      <c r="I73" s="60">
        <v>45395</v>
      </c>
    </row>
    <row r="74" spans="1:9">
      <c r="A74" s="5">
        <v>70</v>
      </c>
      <c r="C74" s="2">
        <v>17.3103132044928</v>
      </c>
      <c r="D74" s="2">
        <v>47.311858987379999</v>
      </c>
      <c r="E74" s="12">
        <v>19.721770020084701</v>
      </c>
      <c r="F74" s="2">
        <v>20.5358355126628</v>
      </c>
      <c r="G74" s="2">
        <v>9.3615058627115708</v>
      </c>
      <c r="H74" s="2">
        <v>33.729404828838497</v>
      </c>
      <c r="I74" s="60">
        <v>45396</v>
      </c>
    </row>
    <row r="75" spans="1:9">
      <c r="A75" s="5">
        <v>71</v>
      </c>
      <c r="C75" s="2">
        <v>16.506086607332598</v>
      </c>
      <c r="D75" s="2">
        <v>43.009926041299103</v>
      </c>
      <c r="E75" s="12">
        <v>53.805192552332997</v>
      </c>
      <c r="F75" s="2">
        <v>28.6594829509609</v>
      </c>
      <c r="G75" s="2">
        <v>9.7931454060051095</v>
      </c>
      <c r="H75" s="2">
        <v>32.036724066933097</v>
      </c>
      <c r="I75" s="60">
        <v>45397</v>
      </c>
    </row>
    <row r="76" spans="1:9">
      <c r="A76" s="5">
        <v>72</v>
      </c>
      <c r="C76" s="2">
        <v>14.1412274085564</v>
      </c>
      <c r="D76" s="2">
        <v>28.0038826445574</v>
      </c>
      <c r="E76" s="12">
        <v>31.414521476691501</v>
      </c>
      <c r="F76" s="2">
        <v>21.979401943731599</v>
      </c>
      <c r="G76" s="2">
        <v>31.555082332508299</v>
      </c>
      <c r="H76" s="2">
        <v>31.300993833265199</v>
      </c>
      <c r="I76" s="60">
        <v>45398</v>
      </c>
    </row>
    <row r="77" spans="1:9">
      <c r="A77" s="5">
        <v>73</v>
      </c>
      <c r="C77" s="2">
        <v>32.2243056524796</v>
      </c>
      <c r="D77" s="2">
        <v>24.758236029614299</v>
      </c>
      <c r="E77" s="12">
        <v>66.879348072064005</v>
      </c>
      <c r="F77" s="2">
        <v>20.627949907081302</v>
      </c>
      <c r="G77" s="2">
        <v>25.519660513692799</v>
      </c>
      <c r="H77" s="2">
        <v>38.038693086253602</v>
      </c>
      <c r="I77" s="60">
        <v>45399</v>
      </c>
    </row>
    <row r="78" spans="1:9">
      <c r="A78" s="5">
        <v>74</v>
      </c>
      <c r="C78" s="2">
        <v>30.539108759315599</v>
      </c>
      <c r="D78" s="2">
        <v>20.518746274024199</v>
      </c>
      <c r="E78" s="12">
        <v>59.692176003544802</v>
      </c>
      <c r="F78" s="2">
        <v>17.571319645990702</v>
      </c>
      <c r="G78" s="2">
        <v>36.472859195944302</v>
      </c>
      <c r="H78" s="2">
        <v>23.8698829896794</v>
      </c>
      <c r="I78" s="60">
        <v>45400</v>
      </c>
    </row>
    <row r="79" spans="1:9">
      <c r="A79" s="5">
        <v>75</v>
      </c>
      <c r="C79" s="2">
        <v>36.892999209411798</v>
      </c>
      <c r="D79" s="2">
        <v>24.854830829930101</v>
      </c>
      <c r="E79" s="12">
        <v>27.701212195796099</v>
      </c>
      <c r="F79" s="2">
        <v>25.687652583994701</v>
      </c>
      <c r="G79" s="2">
        <v>34.347653056420597</v>
      </c>
      <c r="H79" s="2">
        <v>16.494643116950598</v>
      </c>
      <c r="I79" s="60">
        <v>45401</v>
      </c>
    </row>
    <row r="80" spans="1:9">
      <c r="A80" s="5">
        <v>76</v>
      </c>
      <c r="C80" s="2">
        <v>12.8198495252099</v>
      </c>
      <c r="D80" s="2">
        <v>47.558084660659901</v>
      </c>
      <c r="E80" s="12">
        <v>3.2106672380782699</v>
      </c>
      <c r="F80" s="2">
        <v>19.300228156907799</v>
      </c>
      <c r="G80" s="2">
        <v>32.204087415481403</v>
      </c>
      <c r="H80" s="2">
        <v>20.734102810517001</v>
      </c>
      <c r="I80" s="60">
        <v>45402</v>
      </c>
    </row>
    <row r="81" spans="1:9">
      <c r="A81" s="5">
        <v>77</v>
      </c>
      <c r="C81" s="2">
        <v>18.9328966268282</v>
      </c>
      <c r="D81" s="2">
        <v>9.8361311155529503</v>
      </c>
      <c r="E81" s="12">
        <v>37.423152748547601</v>
      </c>
      <c r="F81" s="2">
        <v>28.880251032034302</v>
      </c>
      <c r="G81" s="2">
        <v>33.890293437985299</v>
      </c>
      <c r="H81" s="2">
        <v>30.0233277799177</v>
      </c>
      <c r="I81" s="60">
        <v>45403</v>
      </c>
    </row>
    <row r="82" spans="1:9">
      <c r="A82" s="5">
        <v>78</v>
      </c>
      <c r="C82" s="2">
        <v>8.7039972319690708</v>
      </c>
      <c r="D82" s="2">
        <v>25.818856122326999</v>
      </c>
      <c r="E82" s="12">
        <v>36.159757631485299</v>
      </c>
      <c r="F82" s="2">
        <v>29.5264600475112</v>
      </c>
      <c r="G82" s="2">
        <v>20.724196489130101</v>
      </c>
      <c r="H82" s="2">
        <v>13.979464006835199</v>
      </c>
      <c r="I82" s="60">
        <v>45404</v>
      </c>
    </row>
    <row r="83" spans="1:9">
      <c r="A83" s="5">
        <v>79</v>
      </c>
      <c r="C83" s="2">
        <v>18.030736780307301</v>
      </c>
      <c r="D83" s="2">
        <v>39.401356399762598</v>
      </c>
      <c r="E83" s="12">
        <v>60.798308678392701</v>
      </c>
      <c r="F83" s="2">
        <v>29.3939057271505</v>
      </c>
      <c r="G83" s="2">
        <v>14.1119604967492</v>
      </c>
      <c r="H83" s="2">
        <v>30.133255088931701</v>
      </c>
      <c r="I83" s="60">
        <v>45405</v>
      </c>
    </row>
    <row r="84" spans="1:9">
      <c r="A84" s="5">
        <v>80</v>
      </c>
      <c r="C84" s="2">
        <v>18.849501512007599</v>
      </c>
      <c r="D84" s="2">
        <v>38.550565976293903</v>
      </c>
      <c r="E84" s="12">
        <v>17.9322555928075</v>
      </c>
      <c r="F84" s="2">
        <v>29.994648211736202</v>
      </c>
      <c r="G84" s="2">
        <v>27.175161525927301</v>
      </c>
      <c r="H84" s="2">
        <v>34.055998806037003</v>
      </c>
      <c r="I84" s="60">
        <v>45406</v>
      </c>
    </row>
    <row r="85" spans="1:9">
      <c r="A85" s="5">
        <v>81</v>
      </c>
      <c r="C85" s="2">
        <v>38.6032077761962</v>
      </c>
      <c r="D85" s="2">
        <v>40.033959924197703</v>
      </c>
      <c r="E85" s="12">
        <v>44.338869069735502</v>
      </c>
      <c r="F85" s="2">
        <v>28.357680026713499</v>
      </c>
      <c r="G85" s="2">
        <v>32.1994401398169</v>
      </c>
      <c r="H85" s="2">
        <v>14.1020132841366</v>
      </c>
      <c r="I85" s="60">
        <v>45407</v>
      </c>
    </row>
    <row r="86" spans="1:9">
      <c r="A86" s="5">
        <v>82</v>
      </c>
      <c r="C86" s="2">
        <v>13.168255953303101</v>
      </c>
      <c r="D86" s="2">
        <v>7.9534094084615301</v>
      </c>
      <c r="E86" s="12">
        <v>29.855765791940499</v>
      </c>
      <c r="F86" s="2">
        <v>12.347946210082799</v>
      </c>
      <c r="G86" s="2">
        <v>12.552959789413199</v>
      </c>
      <c r="H86" s="2">
        <v>30.230922947690001</v>
      </c>
      <c r="I86" s="60">
        <v>45408</v>
      </c>
    </row>
    <row r="87" spans="1:9">
      <c r="A87" s="5">
        <v>83</v>
      </c>
      <c r="C87" s="2">
        <v>15.6103356414767</v>
      </c>
      <c r="D87" s="2">
        <v>10.788921279093699</v>
      </c>
      <c r="E87" s="12">
        <v>14.767490255039499</v>
      </c>
      <c r="F87" s="2">
        <v>11.432249824466901</v>
      </c>
      <c r="G87" s="2">
        <v>14.2993792827044</v>
      </c>
      <c r="H87" s="2">
        <v>38.1151923794963</v>
      </c>
      <c r="I87" s="60">
        <v>45409</v>
      </c>
    </row>
    <row r="88" spans="1:9">
      <c r="A88" s="5">
        <v>84</v>
      </c>
      <c r="C88" s="2">
        <v>7.83841995066539</v>
      </c>
      <c r="D88" s="2">
        <v>28.948398134043899</v>
      </c>
      <c r="E88" s="12">
        <v>54.4499255599479</v>
      </c>
      <c r="F88" s="2">
        <v>10.6831754951011</v>
      </c>
      <c r="G88" s="2">
        <v>27.765393450671201</v>
      </c>
      <c r="H88" s="2">
        <v>17.203515311413</v>
      </c>
      <c r="I88" s="60">
        <v>45410</v>
      </c>
    </row>
    <row r="89" spans="1:9">
      <c r="A89" s="5">
        <v>85</v>
      </c>
      <c r="C89" s="2">
        <v>25.587965078052999</v>
      </c>
      <c r="D89" s="2">
        <v>10.797698185282499</v>
      </c>
      <c r="E89" s="12">
        <v>25.579828841572098</v>
      </c>
      <c r="F89" s="2">
        <v>19.9330235001745</v>
      </c>
      <c r="G89" s="2">
        <v>9.2551572829374305</v>
      </c>
      <c r="H89" s="2">
        <v>16.421589725984699</v>
      </c>
      <c r="I89" s="60">
        <v>45411</v>
      </c>
    </row>
    <row r="90" spans="1:9">
      <c r="A90" s="5">
        <v>86</v>
      </c>
      <c r="C90" s="2">
        <v>24.211626575606498</v>
      </c>
      <c r="D90" s="2">
        <v>46.333432091189302</v>
      </c>
      <c r="E90" s="12">
        <v>3.26586668732747</v>
      </c>
      <c r="F90" s="2">
        <v>11.291479662332801</v>
      </c>
      <c r="G90" s="2">
        <v>6.3244904341438604</v>
      </c>
      <c r="H90" s="2">
        <v>18.633082393186498</v>
      </c>
      <c r="I90" s="60">
        <v>45412</v>
      </c>
    </row>
    <row r="91" spans="1:9">
      <c r="A91" s="5">
        <v>87</v>
      </c>
      <c r="C91" s="2">
        <v>30.070803225851201</v>
      </c>
      <c r="D91" s="2">
        <v>28.787256680543098</v>
      </c>
      <c r="E91" s="12">
        <v>33.049147787037903</v>
      </c>
      <c r="F91" s="2">
        <v>23.342214715601902</v>
      </c>
      <c r="G91" s="2">
        <v>15.9454491366161</v>
      </c>
      <c r="H91" s="2">
        <v>26.838943579742601</v>
      </c>
      <c r="I91" s="60">
        <v>45413</v>
      </c>
    </row>
    <row r="92" spans="1:9">
      <c r="A92" s="5">
        <v>88</v>
      </c>
      <c r="C92" s="2">
        <v>37.8011018420531</v>
      </c>
      <c r="D92" s="2">
        <v>46.244882030195598</v>
      </c>
      <c r="E92" s="12">
        <v>45.429476415308898</v>
      </c>
      <c r="F92" s="2">
        <v>30.5743766074756</v>
      </c>
      <c r="G92" s="2">
        <v>12.1892755464761</v>
      </c>
      <c r="H92" s="2">
        <v>26.299480791753801</v>
      </c>
      <c r="I92" s="60">
        <v>45414</v>
      </c>
    </row>
    <row r="93" spans="1:9">
      <c r="A93" s="5">
        <v>89</v>
      </c>
      <c r="C93" s="2">
        <v>36.470575318413999</v>
      </c>
      <c r="D93" s="2">
        <v>25.240344020113898</v>
      </c>
      <c r="E93" s="12">
        <v>13.7469790569829</v>
      </c>
      <c r="F93" s="2">
        <v>28.4099482948183</v>
      </c>
      <c r="G93" s="2">
        <v>9.9984644704600605</v>
      </c>
      <c r="H93" s="2">
        <v>7.2914511979761398</v>
      </c>
      <c r="I93" s="60">
        <v>45415</v>
      </c>
    </row>
    <row r="94" spans="1:9">
      <c r="A94" s="5">
        <v>90</v>
      </c>
      <c r="C94" s="2">
        <v>12.621212314828099</v>
      </c>
      <c r="D94" s="2">
        <v>35.941660865307398</v>
      </c>
      <c r="E94" s="12">
        <v>32.505577082127701</v>
      </c>
      <c r="F94" s="2">
        <v>24.212294241386601</v>
      </c>
      <c r="G94" s="2">
        <v>17.105593937834101</v>
      </c>
      <c r="H94" s="2">
        <v>9.4502935251025608</v>
      </c>
      <c r="I94" s="60">
        <v>45416</v>
      </c>
    </row>
    <row r="95" spans="1:9">
      <c r="A95" s="5">
        <v>91</v>
      </c>
      <c r="C95" s="2">
        <v>12.457145071235599</v>
      </c>
      <c r="D95" s="2">
        <v>44.782536032998202</v>
      </c>
      <c r="E95" s="12">
        <v>40.063812322975799</v>
      </c>
      <c r="F95" s="2">
        <v>20.4596922610402</v>
      </c>
      <c r="G95" s="2">
        <v>30.141628684249302</v>
      </c>
      <c r="H95" s="2">
        <v>14.689982847263099</v>
      </c>
      <c r="I95" s="60">
        <v>45417</v>
      </c>
    </row>
    <row r="96" spans="1:9">
      <c r="A96" s="5">
        <v>92</v>
      </c>
      <c r="C96" s="2">
        <v>33.889046254204899</v>
      </c>
      <c r="D96" s="2">
        <v>12.9808931370835</v>
      </c>
      <c r="E96" s="12">
        <v>40.245187148174999</v>
      </c>
      <c r="F96" s="2">
        <v>13.663973128386599</v>
      </c>
      <c r="G96" s="2">
        <v>32.252708532744101</v>
      </c>
      <c r="H96" s="2">
        <v>15.3316128479753</v>
      </c>
      <c r="I96" s="60">
        <v>45418</v>
      </c>
    </row>
    <row r="97" spans="1:9">
      <c r="A97" s="5">
        <v>93</v>
      </c>
      <c r="C97" s="2">
        <v>29.096941727763301</v>
      </c>
      <c r="D97" s="2">
        <v>32.970393640682403</v>
      </c>
      <c r="E97" s="12">
        <v>46.742704482833503</v>
      </c>
      <c r="F97" s="2">
        <v>19.086922517803998</v>
      </c>
      <c r="G97" s="2">
        <v>12.862106001016199</v>
      </c>
      <c r="H97" s="2">
        <v>30.883855727318299</v>
      </c>
      <c r="I97" s="60">
        <v>45419</v>
      </c>
    </row>
    <row r="98" spans="1:9">
      <c r="A98" s="5">
        <v>94</v>
      </c>
      <c r="C98" s="2">
        <v>25.954051310509001</v>
      </c>
      <c r="D98" s="2">
        <v>32.474021287484803</v>
      </c>
      <c r="E98" s="12">
        <v>33.240601915217503</v>
      </c>
      <c r="F98" s="2">
        <v>30.8219666583819</v>
      </c>
      <c r="G98" s="2">
        <v>34.614175677290199</v>
      </c>
      <c r="H98" s="2">
        <v>25.292426061125202</v>
      </c>
      <c r="I98" s="60">
        <v>45420</v>
      </c>
    </row>
    <row r="99" spans="1:9">
      <c r="A99" s="5">
        <v>95</v>
      </c>
      <c r="C99" s="2">
        <v>32.376908956388903</v>
      </c>
      <c r="D99" s="2">
        <v>38.105244879920598</v>
      </c>
      <c r="E99" s="12">
        <v>2.5093807314963499</v>
      </c>
      <c r="F99" s="2">
        <v>21.516000829825298</v>
      </c>
      <c r="G99" s="2">
        <v>31.317635842471301</v>
      </c>
      <c r="H99" s="2">
        <v>10.073035348745901</v>
      </c>
      <c r="I99" s="60">
        <v>45421</v>
      </c>
    </row>
    <row r="100" spans="1:9">
      <c r="A100" s="5">
        <v>96</v>
      </c>
      <c r="C100" s="2">
        <v>29.130734448126098</v>
      </c>
      <c r="D100" s="2">
        <v>32.071497957139997</v>
      </c>
      <c r="E100" s="12">
        <v>10.9464809593622</v>
      </c>
      <c r="F100" s="2">
        <v>25.954313817665899</v>
      </c>
      <c r="G100" s="2">
        <v>20.496682050905399</v>
      </c>
      <c r="H100" s="2">
        <v>20.747881718178899</v>
      </c>
      <c r="I100" s="60">
        <v>45422</v>
      </c>
    </row>
    <row r="101" spans="1:9">
      <c r="A101" s="5">
        <v>97</v>
      </c>
      <c r="C101" s="2">
        <v>25.830487537445102</v>
      </c>
      <c r="D101" s="2">
        <v>12.889534121274</v>
      </c>
      <c r="E101" s="12">
        <v>8.4001038678546305</v>
      </c>
      <c r="F101" s="2">
        <v>8.1366057299512295</v>
      </c>
      <c r="G101" s="2">
        <v>29.252659802489301</v>
      </c>
      <c r="H101" s="2">
        <v>24.788535705160999</v>
      </c>
      <c r="I101" s="60">
        <v>45423</v>
      </c>
    </row>
    <row r="102" spans="1:9">
      <c r="A102" s="5">
        <v>98</v>
      </c>
      <c r="C102" s="2">
        <v>28.906175681624202</v>
      </c>
      <c r="D102" s="2">
        <v>30.610787912704399</v>
      </c>
      <c r="E102" s="12">
        <v>24.864886098166799</v>
      </c>
      <c r="F102" s="2">
        <v>24.391555124807098</v>
      </c>
      <c r="G102" s="2">
        <v>27.957092263913498</v>
      </c>
      <c r="H102" s="2">
        <v>5.3809124287348</v>
      </c>
      <c r="I102" s="60">
        <v>45424</v>
      </c>
    </row>
    <row r="103" spans="1:9">
      <c r="A103" s="5">
        <v>99</v>
      </c>
      <c r="C103" s="2">
        <v>19.1167741303925</v>
      </c>
      <c r="D103" s="2">
        <v>42.528457678491399</v>
      </c>
      <c r="E103" s="12">
        <v>6.8232985532233101</v>
      </c>
      <c r="F103" s="2">
        <v>12.433005533649</v>
      </c>
      <c r="G103" s="2">
        <v>31.471325344596799</v>
      </c>
      <c r="H103" s="2">
        <v>11.4576146404937</v>
      </c>
      <c r="I103" s="60">
        <v>45425</v>
      </c>
    </row>
    <row r="104" spans="1:9">
      <c r="A104" s="5">
        <v>100</v>
      </c>
      <c r="C104" s="2">
        <v>31.668246900605901</v>
      </c>
      <c r="D104" s="2">
        <v>47.462226386765202</v>
      </c>
      <c r="E104" s="12">
        <v>64.415229623369996</v>
      </c>
      <c r="F104" s="2">
        <v>9.2368316738805394</v>
      </c>
      <c r="G104" s="2">
        <v>7.9137712706431298</v>
      </c>
      <c r="H104" s="2">
        <v>15.844198889825099</v>
      </c>
      <c r="I104" s="60">
        <v>45426</v>
      </c>
    </row>
    <row r="105" spans="1:9">
      <c r="A105" s="5">
        <v>101</v>
      </c>
      <c r="C105" s="2">
        <v>32.750849505138397</v>
      </c>
      <c r="D105" s="2">
        <v>31.710592307254501</v>
      </c>
      <c r="E105" s="12">
        <v>2.5465464812677499</v>
      </c>
      <c r="F105" s="2">
        <v>29.6016582666714</v>
      </c>
      <c r="G105" s="2">
        <v>18.254558780127699</v>
      </c>
      <c r="H105" s="2">
        <v>30.130548999943699</v>
      </c>
      <c r="I105" s="60">
        <v>45427</v>
      </c>
    </row>
    <row r="106" spans="1:9">
      <c r="A106" s="5">
        <v>102</v>
      </c>
      <c r="C106" s="2">
        <v>4.1059882024638403</v>
      </c>
      <c r="D106" s="2">
        <v>45.045647812743702</v>
      </c>
      <c r="E106" s="12">
        <v>65.290526273105598</v>
      </c>
      <c r="F106" s="2">
        <v>27.304434725718501</v>
      </c>
      <c r="G106" s="2">
        <v>31.114333657861899</v>
      </c>
      <c r="H106" s="2">
        <v>14.7286779592174</v>
      </c>
      <c r="I106" s="60">
        <v>45428</v>
      </c>
    </row>
    <row r="107" spans="1:9">
      <c r="A107" s="5">
        <v>103</v>
      </c>
      <c r="C107" s="2">
        <v>31.525940773048699</v>
      </c>
      <c r="D107" s="2">
        <v>33.313197847247999</v>
      </c>
      <c r="E107" s="12">
        <v>63.6382766774068</v>
      </c>
      <c r="F107" s="2">
        <v>13.5066046260636</v>
      </c>
      <c r="G107" s="2">
        <v>22.370601978125698</v>
      </c>
      <c r="H107" s="2">
        <v>19.409875361969402</v>
      </c>
      <c r="I107" s="60">
        <v>45429</v>
      </c>
    </row>
    <row r="108" spans="1:9">
      <c r="A108" s="5">
        <v>104</v>
      </c>
      <c r="C108" s="2">
        <v>37.317970444912099</v>
      </c>
      <c r="D108" s="2">
        <v>9.6580138666730306</v>
      </c>
      <c r="E108" s="12">
        <v>25.164108588277699</v>
      </c>
      <c r="F108" s="2">
        <v>23.651503823006699</v>
      </c>
      <c r="G108" s="2">
        <v>29.6229835869966</v>
      </c>
      <c r="H108" s="2">
        <v>33.229356224583597</v>
      </c>
      <c r="I108" s="60">
        <v>45430</v>
      </c>
    </row>
    <row r="109" spans="1:9">
      <c r="A109" s="5">
        <v>105</v>
      </c>
      <c r="C109" s="2">
        <v>37.075749430644898</v>
      </c>
      <c r="D109" s="2">
        <v>18.040307918380101</v>
      </c>
      <c r="E109" s="12">
        <v>35.943364471880699</v>
      </c>
      <c r="F109" s="2">
        <v>14.5484422028434</v>
      </c>
      <c r="G109" s="2">
        <v>22.739483293477601</v>
      </c>
      <c r="H109" s="2">
        <v>20.116588970414998</v>
      </c>
      <c r="I109" s="60">
        <v>45431</v>
      </c>
    </row>
    <row r="110" spans="1:9">
      <c r="A110" s="5">
        <v>106</v>
      </c>
      <c r="C110" s="2">
        <v>4.5817841652527198</v>
      </c>
      <c r="D110" s="2">
        <v>21.156511678450901</v>
      </c>
      <c r="E110" s="12">
        <v>4.4544105704520698</v>
      </c>
      <c r="F110" s="2">
        <v>26.293047086855399</v>
      </c>
      <c r="G110" s="2">
        <v>12.0541758960106</v>
      </c>
      <c r="H110" s="2">
        <v>31.528422212234901</v>
      </c>
      <c r="I110" s="60">
        <v>45432</v>
      </c>
    </row>
    <row r="111" spans="1:9">
      <c r="A111" s="5">
        <v>107</v>
      </c>
      <c r="C111" s="2">
        <v>29.186152103639198</v>
      </c>
      <c r="D111" s="2">
        <v>47.588292154475802</v>
      </c>
      <c r="E111" s="12">
        <v>62.162075545898098</v>
      </c>
      <c r="F111" s="2">
        <v>20.677889025258199</v>
      </c>
      <c r="G111" s="2">
        <v>34.754761754088499</v>
      </c>
      <c r="H111" s="2">
        <v>37.382983968777097</v>
      </c>
      <c r="I111" s="60">
        <v>45433</v>
      </c>
    </row>
    <row r="112" spans="1:9">
      <c r="A112" s="5">
        <v>108</v>
      </c>
      <c r="C112" s="2">
        <v>15.3804947101455</v>
      </c>
      <c r="D112" s="2">
        <v>18.139422348853198</v>
      </c>
      <c r="E112" s="12">
        <v>63.090138107590697</v>
      </c>
      <c r="F112" s="2">
        <v>12.520043456475801</v>
      </c>
      <c r="G112" s="2">
        <v>34.392311663432402</v>
      </c>
      <c r="H112" s="2">
        <v>16.469589105111702</v>
      </c>
      <c r="I112" s="60">
        <v>45434</v>
      </c>
    </row>
    <row r="113" spans="1:9">
      <c r="A113" s="5">
        <v>109</v>
      </c>
      <c r="C113" s="2">
        <v>12.799224348802101</v>
      </c>
      <c r="D113" s="2">
        <v>29.3613423876381</v>
      </c>
      <c r="E113" s="12">
        <v>10.359053755343201</v>
      </c>
      <c r="F113" s="2">
        <v>19.164725376675499</v>
      </c>
      <c r="G113" s="2">
        <v>36.356051470264298</v>
      </c>
      <c r="H113" s="2">
        <v>12.742333617022</v>
      </c>
      <c r="I113" s="60">
        <v>45435</v>
      </c>
    </row>
    <row r="114" spans="1:9">
      <c r="A114" s="5">
        <v>110</v>
      </c>
      <c r="C114" s="2">
        <v>33.575998003763601</v>
      </c>
      <c r="D114" s="2">
        <v>36.308680833741001</v>
      </c>
      <c r="E114" s="12">
        <v>17.035583773240699</v>
      </c>
      <c r="F114" s="2">
        <v>19.936166214714699</v>
      </c>
      <c r="G114" s="2">
        <v>27.724003401596502</v>
      </c>
      <c r="H114" s="2">
        <v>24.540815005678802</v>
      </c>
      <c r="I114" s="60">
        <v>45436</v>
      </c>
    </row>
    <row r="115" spans="1:9">
      <c r="A115" s="5">
        <v>111</v>
      </c>
      <c r="C115" s="2">
        <v>20.6981355933526</v>
      </c>
      <c r="D115" s="2">
        <v>19.5595138884185</v>
      </c>
      <c r="E115" s="12">
        <v>3.5054436263671902</v>
      </c>
      <c r="F115" s="2">
        <v>13.0334896354235</v>
      </c>
      <c r="G115" s="2">
        <v>23.801270131146499</v>
      </c>
      <c r="H115" s="2">
        <v>24.6571890138888</v>
      </c>
      <c r="I115" s="60">
        <v>45437</v>
      </c>
    </row>
  </sheetData>
  <autoFilter ref="A4:I115" xr:uid="{00000000-0001-0000-1A00-000000000000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5"/>
  <sheetViews>
    <sheetView workbookViewId="0"/>
  </sheetViews>
  <sheetFormatPr defaultColWidth="9" defaultRowHeight="14.4"/>
  <cols>
    <col min="1" max="2" width="13.44140625" style="5" customWidth="1"/>
    <col min="3" max="3" width="9.33203125" customWidth="1"/>
    <col min="4" max="4" width="15.5546875" bestFit="1" customWidth="1"/>
    <col min="5" max="7" width="15.44140625" customWidth="1"/>
    <col min="8" max="8" width="10.44140625" bestFit="1" customWidth="1"/>
  </cols>
  <sheetData>
    <row r="1" spans="1:8">
      <c r="A1" s="74" t="s">
        <v>2273</v>
      </c>
      <c r="B1" s="74" t="s">
        <v>2272</v>
      </c>
      <c r="C1" s="61" t="s">
        <v>2085</v>
      </c>
      <c r="D1" s="61" t="s">
        <v>2245</v>
      </c>
      <c r="E1" s="61" t="s">
        <v>2243</v>
      </c>
      <c r="F1" s="61" t="s">
        <v>2244</v>
      </c>
      <c r="G1" s="61" t="s">
        <v>2086</v>
      </c>
      <c r="H1" s="61" t="s">
        <v>2246</v>
      </c>
    </row>
    <row r="2" spans="1:8">
      <c r="A2" s="5">
        <v>1</v>
      </c>
      <c r="B2" s="5">
        <v>1</v>
      </c>
      <c r="C2" s="2">
        <v>44.076106845477597</v>
      </c>
      <c r="D2" s="2">
        <v>45.227731257980601</v>
      </c>
      <c r="E2" s="2"/>
      <c r="F2" s="2">
        <v>22.169734081022501</v>
      </c>
      <c r="G2" s="2">
        <v>25.418575517074402</v>
      </c>
      <c r="H2" s="60">
        <v>45327</v>
      </c>
    </row>
    <row r="3" spans="1:8">
      <c r="A3" s="5">
        <v>2</v>
      </c>
      <c r="B3" s="5">
        <v>1</v>
      </c>
      <c r="C3" s="2">
        <v>42.039198274262198</v>
      </c>
      <c r="D3" s="2">
        <v>18.3271209115182</v>
      </c>
      <c r="E3" s="2"/>
      <c r="F3" s="2">
        <v>49.790231933780099</v>
      </c>
      <c r="G3" s="2">
        <v>27.2176224780744</v>
      </c>
      <c r="H3" s="60">
        <v>45328</v>
      </c>
    </row>
    <row r="4" spans="1:8">
      <c r="A4" s="5">
        <v>3</v>
      </c>
      <c r="B4" s="5">
        <v>2</v>
      </c>
      <c r="C4" s="2">
        <v>55.380020956470901</v>
      </c>
      <c r="D4" s="2"/>
      <c r="E4" s="2">
        <v>11.445213941834099</v>
      </c>
      <c r="F4" s="2">
        <v>8.7260261303355708</v>
      </c>
      <c r="G4" s="2">
        <v>46.496513541217702</v>
      </c>
      <c r="H4" s="60">
        <v>45329</v>
      </c>
    </row>
    <row r="5" spans="1:8">
      <c r="A5" s="5">
        <v>4</v>
      </c>
      <c r="B5" s="5">
        <v>2</v>
      </c>
      <c r="C5" s="2">
        <v>12.294977011439</v>
      </c>
      <c r="D5" s="2"/>
      <c r="E5" s="2">
        <v>35.735967605431199</v>
      </c>
      <c r="F5" s="2">
        <v>52.910566358100098</v>
      </c>
      <c r="G5" s="2">
        <v>34.222744107327799</v>
      </c>
      <c r="H5" s="60">
        <v>45330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7:B608"/>
  <sheetViews>
    <sheetView zoomScale="130" zoomScaleNormal="130" workbookViewId="0">
      <selection activeCell="B18" sqref="B18"/>
    </sheetView>
  </sheetViews>
  <sheetFormatPr defaultColWidth="9" defaultRowHeight="14.4"/>
  <cols>
    <col min="1" max="1" width="15.33203125" customWidth="1"/>
    <col min="2" max="2" width="184.33203125" customWidth="1"/>
  </cols>
  <sheetData>
    <row r="7" spans="1:2">
      <c r="A7" s="1" t="s">
        <v>2044</v>
      </c>
      <c r="B7" s="1" t="s">
        <v>2045</v>
      </c>
    </row>
    <row r="8" spans="1:2">
      <c r="A8">
        <v>1</v>
      </c>
      <c r="B8" t="s">
        <v>2046</v>
      </c>
    </row>
    <row r="9" spans="1:2">
      <c r="A9">
        <v>2</v>
      </c>
      <c r="B9" t="s">
        <v>2047</v>
      </c>
    </row>
    <row r="10" spans="1:2">
      <c r="A10">
        <v>3</v>
      </c>
      <c r="B10" t="s">
        <v>2047</v>
      </c>
    </row>
    <row r="11" spans="1:2">
      <c r="A11">
        <v>4</v>
      </c>
      <c r="B11" t="s">
        <v>2047</v>
      </c>
    </row>
    <row r="12" spans="1:2">
      <c r="A12">
        <v>5</v>
      </c>
      <c r="B12" t="s">
        <v>2048</v>
      </c>
    </row>
    <row r="13" spans="1:2">
      <c r="A13">
        <v>6</v>
      </c>
      <c r="B13" t="s">
        <v>2049</v>
      </c>
    </row>
    <row r="14" spans="1:2">
      <c r="A14">
        <v>7</v>
      </c>
      <c r="B14" t="s">
        <v>2050</v>
      </c>
    </row>
    <row r="15" spans="1:2">
      <c r="A15">
        <v>8</v>
      </c>
      <c r="B15" t="s">
        <v>2051</v>
      </c>
    </row>
    <row r="16" spans="1:2">
      <c r="A16">
        <v>9</v>
      </c>
      <c r="B16" t="s">
        <v>2051</v>
      </c>
    </row>
    <row r="17" spans="1:2">
      <c r="A17">
        <v>10</v>
      </c>
      <c r="B17" t="s">
        <v>2051</v>
      </c>
    </row>
    <row r="18" spans="1:2">
      <c r="A18">
        <v>11</v>
      </c>
      <c r="B18" t="s">
        <v>2051</v>
      </c>
    </row>
    <row r="19" spans="1:2">
      <c r="A19">
        <v>12</v>
      </c>
      <c r="B19" t="s">
        <v>2052</v>
      </c>
    </row>
    <row r="20" spans="1:2">
      <c r="A20">
        <v>13</v>
      </c>
      <c r="B20" t="s">
        <v>2052</v>
      </c>
    </row>
    <row r="21" spans="1:2">
      <c r="A21">
        <v>14</v>
      </c>
      <c r="B21" t="s">
        <v>2052</v>
      </c>
    </row>
    <row r="22" spans="1:2">
      <c r="A22">
        <v>15</v>
      </c>
      <c r="B22" t="s">
        <v>2053</v>
      </c>
    </row>
    <row r="23" spans="1:2">
      <c r="A23">
        <v>16</v>
      </c>
      <c r="B23" t="s">
        <v>2053</v>
      </c>
    </row>
    <row r="24" spans="1:2">
      <c r="A24">
        <v>17</v>
      </c>
      <c r="B24" t="s">
        <v>2053</v>
      </c>
    </row>
    <row r="25" spans="1:2">
      <c r="A25">
        <v>18</v>
      </c>
      <c r="B25" t="s">
        <v>2053</v>
      </c>
    </row>
    <row r="26" spans="1:2">
      <c r="A26">
        <v>19</v>
      </c>
      <c r="B26" t="s">
        <v>2053</v>
      </c>
    </row>
    <row r="27" spans="1:2">
      <c r="A27">
        <v>20</v>
      </c>
      <c r="B27" t="s">
        <v>2054</v>
      </c>
    </row>
    <row r="28" spans="1:2">
      <c r="A28">
        <v>21</v>
      </c>
      <c r="B28" t="s">
        <v>2054</v>
      </c>
    </row>
    <row r="29" spans="1:2">
      <c r="A29">
        <v>22</v>
      </c>
      <c r="B29" t="s">
        <v>2054</v>
      </c>
    </row>
    <row r="30" spans="1:2">
      <c r="A30">
        <v>23</v>
      </c>
      <c r="B30" t="s">
        <v>2054</v>
      </c>
    </row>
    <row r="31" spans="1:2">
      <c r="A31">
        <v>24</v>
      </c>
      <c r="B31" t="s">
        <v>2055</v>
      </c>
    </row>
    <row r="32" spans="1:2">
      <c r="A32">
        <v>25</v>
      </c>
      <c r="B32" t="s">
        <v>2055</v>
      </c>
    </row>
    <row r="33" spans="1:2">
      <c r="A33">
        <v>26</v>
      </c>
      <c r="B33" t="s">
        <v>2048</v>
      </c>
    </row>
    <row r="34" spans="1:2">
      <c r="A34">
        <v>27</v>
      </c>
      <c r="B34" t="s">
        <v>2049</v>
      </c>
    </row>
    <row r="35" spans="1:2">
      <c r="A35">
        <v>28</v>
      </c>
      <c r="B35" t="s">
        <v>2050</v>
      </c>
    </row>
    <row r="36" spans="1:2">
      <c r="A36">
        <v>29</v>
      </c>
      <c r="B36" t="s">
        <v>2054</v>
      </c>
    </row>
    <row r="37" spans="1:2">
      <c r="A37">
        <v>30</v>
      </c>
      <c r="B37" t="s">
        <v>2054</v>
      </c>
    </row>
    <row r="38" spans="1:2">
      <c r="A38">
        <v>31</v>
      </c>
      <c r="B38" t="s">
        <v>2054</v>
      </c>
    </row>
    <row r="39" spans="1:2">
      <c r="A39">
        <v>32</v>
      </c>
      <c r="B39" t="s">
        <v>2054</v>
      </c>
    </row>
    <row r="40" spans="1:2">
      <c r="A40">
        <v>33</v>
      </c>
      <c r="B40" t="s">
        <v>2056</v>
      </c>
    </row>
    <row r="41" spans="1:2">
      <c r="A41">
        <v>34</v>
      </c>
      <c r="B41" t="s">
        <v>2048</v>
      </c>
    </row>
    <row r="42" spans="1:2">
      <c r="A42">
        <v>35</v>
      </c>
      <c r="B42" t="s">
        <v>2049</v>
      </c>
    </row>
    <row r="43" spans="1:2">
      <c r="A43">
        <v>36</v>
      </c>
      <c r="B43" t="s">
        <v>2050</v>
      </c>
    </row>
    <row r="44" spans="1:2">
      <c r="A44">
        <v>37</v>
      </c>
      <c r="B44" t="s">
        <v>2057</v>
      </c>
    </row>
    <row r="45" spans="1:2">
      <c r="A45">
        <v>38</v>
      </c>
      <c r="B45" t="s">
        <v>2058</v>
      </c>
    </row>
    <row r="46" spans="1:2">
      <c r="A46">
        <v>39</v>
      </c>
      <c r="B46" t="s">
        <v>2054</v>
      </c>
    </row>
    <row r="47" spans="1:2">
      <c r="A47">
        <v>40</v>
      </c>
      <c r="B47" t="s">
        <v>2054</v>
      </c>
    </row>
    <row r="48" spans="1:2">
      <c r="A48">
        <v>41</v>
      </c>
      <c r="B48" t="s">
        <v>2054</v>
      </c>
    </row>
    <row r="49" spans="1:2">
      <c r="A49">
        <v>42</v>
      </c>
      <c r="B49" t="s">
        <v>2059</v>
      </c>
    </row>
    <row r="50" spans="1:2">
      <c r="A50">
        <v>43</v>
      </c>
      <c r="B50" t="s">
        <v>2060</v>
      </c>
    </row>
    <row r="51" spans="1:2">
      <c r="A51">
        <v>44</v>
      </c>
      <c r="B51" t="s">
        <v>2060</v>
      </c>
    </row>
    <row r="52" spans="1:2">
      <c r="A52">
        <v>45</v>
      </c>
      <c r="B52" t="s">
        <v>2060</v>
      </c>
    </row>
    <row r="53" spans="1:2">
      <c r="A53">
        <v>46</v>
      </c>
      <c r="B53" t="s">
        <v>2054</v>
      </c>
    </row>
    <row r="54" spans="1:2">
      <c r="A54">
        <v>47</v>
      </c>
      <c r="B54" t="s">
        <v>2054</v>
      </c>
    </row>
    <row r="55" spans="1:2">
      <c r="A55">
        <v>48</v>
      </c>
      <c r="B55" t="s">
        <v>2061</v>
      </c>
    </row>
    <row r="56" spans="1:2">
      <c r="A56">
        <v>49</v>
      </c>
      <c r="B56" t="s">
        <v>2061</v>
      </c>
    </row>
    <row r="57" spans="1:2">
      <c r="A57">
        <v>50</v>
      </c>
      <c r="B57" t="s">
        <v>2061</v>
      </c>
    </row>
    <row r="58" spans="1:2">
      <c r="A58">
        <v>51</v>
      </c>
      <c r="B58" t="s">
        <v>2054</v>
      </c>
    </row>
    <row r="59" spans="1:2">
      <c r="A59">
        <v>52</v>
      </c>
      <c r="B59" t="s">
        <v>2054</v>
      </c>
    </row>
    <row r="60" spans="1:2">
      <c r="A60">
        <v>53</v>
      </c>
      <c r="B60" t="s">
        <v>2054</v>
      </c>
    </row>
    <row r="61" spans="1:2">
      <c r="A61">
        <v>54</v>
      </c>
      <c r="B61" t="s">
        <v>2054</v>
      </c>
    </row>
    <row r="62" spans="1:2">
      <c r="A62">
        <v>55</v>
      </c>
      <c r="B62" t="s">
        <v>2054</v>
      </c>
    </row>
    <row r="63" spans="1:2">
      <c r="A63">
        <v>56</v>
      </c>
      <c r="B63" t="s">
        <v>2054</v>
      </c>
    </row>
    <row r="64" spans="1:2">
      <c r="A64">
        <v>57</v>
      </c>
      <c r="B64" t="s">
        <v>2062</v>
      </c>
    </row>
    <row r="65" spans="1:2">
      <c r="A65">
        <v>58</v>
      </c>
      <c r="B65" t="s">
        <v>2063</v>
      </c>
    </row>
    <row r="66" spans="1:2">
      <c r="A66">
        <v>59</v>
      </c>
      <c r="B66" t="s">
        <v>2063</v>
      </c>
    </row>
    <row r="67" spans="1:2">
      <c r="A67">
        <v>60</v>
      </c>
      <c r="B67" t="s">
        <v>2063</v>
      </c>
    </row>
    <row r="68" spans="1:2">
      <c r="A68">
        <v>61</v>
      </c>
      <c r="B68" t="s">
        <v>2063</v>
      </c>
    </row>
    <row r="69" spans="1:2">
      <c r="A69">
        <v>62</v>
      </c>
      <c r="B69" t="s">
        <v>2063</v>
      </c>
    </row>
    <row r="70" spans="1:2">
      <c r="A70">
        <v>63</v>
      </c>
      <c r="B70" t="s">
        <v>2046</v>
      </c>
    </row>
    <row r="71" spans="1:2">
      <c r="A71">
        <v>64</v>
      </c>
      <c r="B71" t="s">
        <v>2064</v>
      </c>
    </row>
    <row r="72" spans="1:2">
      <c r="A72">
        <v>65</v>
      </c>
      <c r="B72" t="s">
        <v>2048</v>
      </c>
    </row>
    <row r="73" spans="1:2">
      <c r="A73">
        <v>66</v>
      </c>
      <c r="B73" t="s">
        <v>2046</v>
      </c>
    </row>
    <row r="74" spans="1:2">
      <c r="A74">
        <v>67</v>
      </c>
      <c r="B74" t="s">
        <v>2065</v>
      </c>
    </row>
    <row r="75" spans="1:2">
      <c r="A75">
        <v>68</v>
      </c>
      <c r="B75" t="s">
        <v>2046</v>
      </c>
    </row>
    <row r="76" spans="1:2">
      <c r="A76">
        <v>69</v>
      </c>
      <c r="B76" t="s">
        <v>2066</v>
      </c>
    </row>
    <row r="77" spans="1:2">
      <c r="A77">
        <v>70</v>
      </c>
      <c r="B77" t="s">
        <v>2048</v>
      </c>
    </row>
    <row r="78" spans="1:2">
      <c r="A78">
        <v>71</v>
      </c>
      <c r="B78" t="s">
        <v>2067</v>
      </c>
    </row>
    <row r="79" spans="1:2">
      <c r="A79">
        <v>72</v>
      </c>
      <c r="B79" t="s">
        <v>2046</v>
      </c>
    </row>
    <row r="80" spans="1:2">
      <c r="A80">
        <v>73</v>
      </c>
      <c r="B80" t="s">
        <v>2046</v>
      </c>
    </row>
    <row r="81" spans="1:2">
      <c r="A81">
        <v>74</v>
      </c>
      <c r="B81" t="s">
        <v>2068</v>
      </c>
    </row>
    <row r="82" spans="1:2">
      <c r="A82">
        <v>75</v>
      </c>
      <c r="B82" t="s">
        <v>2046</v>
      </c>
    </row>
    <row r="83" spans="1:2">
      <c r="A83">
        <v>76</v>
      </c>
      <c r="B83" t="s">
        <v>2048</v>
      </c>
    </row>
    <row r="84" spans="1:2">
      <c r="A84">
        <v>77</v>
      </c>
      <c r="B84" t="s">
        <v>2048</v>
      </c>
    </row>
    <row r="85" spans="1:2">
      <c r="A85">
        <v>78</v>
      </c>
      <c r="B85" t="s">
        <v>2046</v>
      </c>
    </row>
    <row r="86" spans="1:2">
      <c r="A86">
        <v>79</v>
      </c>
      <c r="B86" t="s">
        <v>2046</v>
      </c>
    </row>
    <row r="87" spans="1:2">
      <c r="A87">
        <v>80</v>
      </c>
      <c r="B87" t="s">
        <v>2046</v>
      </c>
    </row>
    <row r="88" spans="1:2">
      <c r="A88">
        <v>81</v>
      </c>
      <c r="B88" t="s">
        <v>2061</v>
      </c>
    </row>
    <row r="89" spans="1:2">
      <c r="A89">
        <v>82</v>
      </c>
      <c r="B89" t="s">
        <v>2061</v>
      </c>
    </row>
    <row r="90" spans="1:2">
      <c r="A90">
        <v>83</v>
      </c>
      <c r="B90" t="s">
        <v>2061</v>
      </c>
    </row>
    <row r="91" spans="1:2">
      <c r="A91">
        <v>84</v>
      </c>
      <c r="B91" t="s">
        <v>2061</v>
      </c>
    </row>
    <row r="92" spans="1:2">
      <c r="A92">
        <v>85</v>
      </c>
      <c r="B92" t="s">
        <v>2061</v>
      </c>
    </row>
    <row r="93" spans="1:2">
      <c r="A93">
        <v>86</v>
      </c>
      <c r="B93" t="s">
        <v>2061</v>
      </c>
    </row>
    <row r="94" spans="1:2">
      <c r="A94">
        <v>87</v>
      </c>
      <c r="B94" t="s">
        <v>2061</v>
      </c>
    </row>
    <row r="95" spans="1:2">
      <c r="A95">
        <v>88</v>
      </c>
      <c r="B95" t="s">
        <v>2061</v>
      </c>
    </row>
    <row r="96" spans="1:2">
      <c r="A96">
        <v>89</v>
      </c>
      <c r="B96" t="s">
        <v>2061</v>
      </c>
    </row>
    <row r="166" spans="2:2">
      <c r="B166">
        <v>0</v>
      </c>
    </row>
    <row r="608" spans="2:2">
      <c r="B608" s="15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4:H122"/>
  <sheetViews>
    <sheetView zoomScale="102" zoomScaleNormal="102" workbookViewId="0"/>
  </sheetViews>
  <sheetFormatPr defaultColWidth="9" defaultRowHeight="14.4"/>
  <cols>
    <col min="1" max="1" width="15.33203125" style="5" bestFit="1" customWidth="1"/>
    <col min="2" max="2" width="15" bestFit="1" customWidth="1"/>
    <col min="3" max="3" width="15.5546875" bestFit="1" customWidth="1"/>
    <col min="4" max="4" width="15.44140625" bestFit="1" customWidth="1"/>
    <col min="5" max="5" width="24.6640625" bestFit="1" customWidth="1"/>
    <col min="6" max="6" width="17.88671875" bestFit="1" customWidth="1"/>
    <col min="7" max="7" width="17.44140625" style="5" bestFit="1" customWidth="1"/>
    <col min="8" max="8" width="12.33203125" bestFit="1" customWidth="1"/>
  </cols>
  <sheetData>
    <row r="4" spans="1:8">
      <c r="A4" s="11" t="s">
        <v>2253</v>
      </c>
      <c r="B4" s="1" t="s">
        <v>2069</v>
      </c>
      <c r="C4" s="1" t="s">
        <v>2070</v>
      </c>
      <c r="D4" s="1" t="s">
        <v>2071</v>
      </c>
      <c r="E4" s="1" t="s">
        <v>2072</v>
      </c>
      <c r="F4" s="1" t="s">
        <v>2074</v>
      </c>
      <c r="G4" s="11" t="s">
        <v>136</v>
      </c>
      <c r="H4" s="1" t="s">
        <v>2075</v>
      </c>
    </row>
    <row r="5" spans="1:8">
      <c r="A5" s="5">
        <v>1</v>
      </c>
      <c r="B5" s="2">
        <f ca="1">RAND()*78+6</f>
        <v>63.348796362667116</v>
      </c>
      <c r="C5" s="2">
        <v>44.691813216236802</v>
      </c>
      <c r="D5" t="str">
        <f ca="1">TEXT(RANDBETWEEN(DATE(2016,1,1),DATE(2020,12,31)),"dd/mm/yy")</f>
        <v>26/01/19</v>
      </c>
      <c r="E5" t="s">
        <v>893</v>
      </c>
      <c r="F5" t="s">
        <v>2</v>
      </c>
      <c r="G5" s="5">
        <v>38</v>
      </c>
      <c r="H5" t="s">
        <v>1135</v>
      </c>
    </row>
    <row r="6" spans="1:8">
      <c r="A6" s="5">
        <v>2</v>
      </c>
      <c r="B6" s="2">
        <f t="shared" ref="B6:B69" ca="1" si="0">RAND()*78+6</f>
        <v>39.415439793203547</v>
      </c>
      <c r="C6" s="2">
        <v>50.815762528334403</v>
      </c>
      <c r="D6" t="str">
        <f t="shared" ref="D6:D69" ca="1" si="1">TEXT(RANDBETWEEN(DATE(2016,1,1),DATE(2020,12,31)),"dd/mm/yy")</f>
        <v>07/05/19</v>
      </c>
      <c r="E6" t="s">
        <v>893</v>
      </c>
      <c r="F6" t="s">
        <v>2</v>
      </c>
      <c r="G6" s="5">
        <v>40</v>
      </c>
      <c r="H6" t="s">
        <v>1135</v>
      </c>
    </row>
    <row r="7" spans="1:8">
      <c r="A7" s="5">
        <v>3</v>
      </c>
      <c r="B7" s="2">
        <f t="shared" ca="1" si="0"/>
        <v>47.27781101572586</v>
      </c>
      <c r="C7" s="2">
        <v>21.052434070571699</v>
      </c>
      <c r="D7" t="str">
        <f t="shared" ca="1" si="1"/>
        <v>09/01/18</v>
      </c>
      <c r="E7" t="s">
        <v>893</v>
      </c>
      <c r="F7" t="s">
        <v>2</v>
      </c>
      <c r="G7" s="5">
        <v>42</v>
      </c>
      <c r="H7" t="s">
        <v>1135</v>
      </c>
    </row>
    <row r="8" spans="1:8">
      <c r="A8" s="5">
        <v>4</v>
      </c>
      <c r="B8" s="2">
        <f t="shared" ca="1" si="0"/>
        <v>78.339665404487448</v>
      </c>
      <c r="C8" s="2">
        <v>35.865550866559801</v>
      </c>
      <c r="D8" t="str">
        <f t="shared" ca="1" si="1"/>
        <v>28/12/16</v>
      </c>
      <c r="E8" t="s">
        <v>893</v>
      </c>
      <c r="F8" t="s">
        <v>2</v>
      </c>
      <c r="G8" s="5">
        <v>44</v>
      </c>
      <c r="H8" t="s">
        <v>1135</v>
      </c>
    </row>
    <row r="9" spans="1:8">
      <c r="A9" s="5">
        <v>5</v>
      </c>
      <c r="B9" s="2">
        <f t="shared" ca="1" si="0"/>
        <v>35.924671034826559</v>
      </c>
      <c r="C9" s="2">
        <v>28.188679870054798</v>
      </c>
      <c r="D9" t="str">
        <f t="shared" ca="1" si="1"/>
        <v>24/12/16</v>
      </c>
      <c r="E9" t="s">
        <v>893</v>
      </c>
      <c r="F9" t="s">
        <v>2</v>
      </c>
      <c r="G9" s="5">
        <v>49</v>
      </c>
      <c r="H9" t="s">
        <v>1135</v>
      </c>
    </row>
    <row r="10" spans="1:8">
      <c r="A10" s="5">
        <v>6</v>
      </c>
      <c r="B10" s="2">
        <f t="shared" ca="1" si="0"/>
        <v>9.3713192829706156</v>
      </c>
      <c r="C10" s="2">
        <v>37.654513824113202</v>
      </c>
      <c r="D10" t="str">
        <f t="shared" ca="1" si="1"/>
        <v>16/07/17</v>
      </c>
      <c r="E10" t="s">
        <v>893</v>
      </c>
      <c r="F10" t="s">
        <v>2</v>
      </c>
      <c r="G10" s="5">
        <v>51</v>
      </c>
      <c r="H10" t="s">
        <v>1135</v>
      </c>
    </row>
    <row r="11" spans="1:8">
      <c r="A11" s="5">
        <v>7</v>
      </c>
      <c r="B11" s="2">
        <f t="shared" ca="1" si="0"/>
        <v>8.636566128755863</v>
      </c>
      <c r="C11" s="2">
        <v>36.930587151192199</v>
      </c>
      <c r="D11" t="str">
        <f t="shared" ca="1" si="1"/>
        <v>09/09/18</v>
      </c>
      <c r="E11" t="s">
        <v>893</v>
      </c>
      <c r="F11" t="s">
        <v>2</v>
      </c>
      <c r="G11" s="5">
        <v>52</v>
      </c>
      <c r="H11" t="s">
        <v>1135</v>
      </c>
    </row>
    <row r="12" spans="1:8">
      <c r="A12" s="5">
        <v>8</v>
      </c>
      <c r="B12" s="2">
        <f t="shared" ca="1" si="0"/>
        <v>52.78457222369498</v>
      </c>
      <c r="C12" s="2">
        <v>20.090146530621801</v>
      </c>
      <c r="D12" t="str">
        <f t="shared" ca="1" si="1"/>
        <v>05/04/17</v>
      </c>
      <c r="E12" t="s">
        <v>893</v>
      </c>
      <c r="F12" t="s">
        <v>2</v>
      </c>
      <c r="G12" s="5">
        <v>53</v>
      </c>
      <c r="H12" t="s">
        <v>1135</v>
      </c>
    </row>
    <row r="13" spans="1:8">
      <c r="A13" s="5">
        <v>9</v>
      </c>
      <c r="B13" s="2">
        <f t="shared" ca="1" si="0"/>
        <v>68.318679493965192</v>
      </c>
      <c r="C13" s="2">
        <v>29.429296231807399</v>
      </c>
      <c r="D13" t="str">
        <f t="shared" ca="1" si="1"/>
        <v>12/01/17</v>
      </c>
      <c r="E13" t="s">
        <v>893</v>
      </c>
      <c r="F13" t="s">
        <v>2</v>
      </c>
      <c r="G13" s="5">
        <v>54</v>
      </c>
      <c r="H13" t="s">
        <v>1135</v>
      </c>
    </row>
    <row r="14" spans="1:8">
      <c r="A14" s="5">
        <v>10</v>
      </c>
      <c r="B14" s="2">
        <f t="shared" ca="1" si="0"/>
        <v>28.904502019320955</v>
      </c>
      <c r="C14" s="2">
        <v>32.1470675679019</v>
      </c>
      <c r="D14" t="str">
        <f t="shared" ca="1" si="1"/>
        <v>22/04/20</v>
      </c>
      <c r="E14" t="s">
        <v>893</v>
      </c>
      <c r="F14" t="s">
        <v>2</v>
      </c>
      <c r="G14" s="5">
        <v>55</v>
      </c>
      <c r="H14" t="s">
        <v>1135</v>
      </c>
    </row>
    <row r="15" spans="1:8">
      <c r="A15" s="5">
        <v>11</v>
      </c>
      <c r="B15" s="2">
        <f t="shared" ca="1" si="0"/>
        <v>71.898819511171595</v>
      </c>
      <c r="C15" s="2">
        <v>16.519981008547798</v>
      </c>
      <c r="D15" t="str">
        <f t="shared" ca="1" si="1"/>
        <v>29/10/20</v>
      </c>
      <c r="E15" t="s">
        <v>893</v>
      </c>
      <c r="F15" t="s">
        <v>2</v>
      </c>
      <c r="G15" s="5">
        <v>56</v>
      </c>
      <c r="H15" t="s">
        <v>1135</v>
      </c>
    </row>
    <row r="16" spans="1:8">
      <c r="A16" s="5">
        <v>12</v>
      </c>
      <c r="B16" s="2">
        <f t="shared" ca="1" si="0"/>
        <v>24.063296788382473</v>
      </c>
      <c r="C16" s="2">
        <v>52.025859365608497</v>
      </c>
      <c r="D16" t="str">
        <f t="shared" ca="1" si="1"/>
        <v>26/02/18</v>
      </c>
      <c r="E16" t="s">
        <v>893</v>
      </c>
      <c r="F16" t="s">
        <v>2</v>
      </c>
      <c r="G16" s="5">
        <v>57</v>
      </c>
      <c r="H16" t="s">
        <v>2076</v>
      </c>
    </row>
    <row r="17" spans="1:8">
      <c r="A17" s="5">
        <v>13</v>
      </c>
      <c r="B17" s="2">
        <f t="shared" ca="1" si="0"/>
        <v>19.155687944598959</v>
      </c>
      <c r="C17" s="2">
        <v>29.7078177287462</v>
      </c>
      <c r="D17" t="str">
        <f t="shared" ca="1" si="1"/>
        <v>27/05/18</v>
      </c>
      <c r="E17" t="s">
        <v>893</v>
      </c>
      <c r="F17" t="s">
        <v>2</v>
      </c>
      <c r="G17" s="5">
        <v>58</v>
      </c>
      <c r="H17" t="s">
        <v>2076</v>
      </c>
    </row>
    <row r="18" spans="1:8">
      <c r="A18" s="5">
        <v>14</v>
      </c>
      <c r="B18" s="2">
        <f t="shared" ca="1" si="0"/>
        <v>6.9177035020173836</v>
      </c>
      <c r="C18" s="2">
        <v>53.123776573443898</v>
      </c>
      <c r="D18" t="str">
        <f t="shared" ca="1" si="1"/>
        <v>29/08/19</v>
      </c>
      <c r="E18" t="s">
        <v>893</v>
      </c>
      <c r="F18" t="s">
        <v>2</v>
      </c>
      <c r="G18" s="5">
        <v>60</v>
      </c>
      <c r="H18" t="s">
        <v>2076</v>
      </c>
    </row>
    <row r="19" spans="1:8">
      <c r="A19" s="5">
        <v>15</v>
      </c>
      <c r="B19" s="2">
        <f t="shared" ca="1" si="0"/>
        <v>42.974580037949281</v>
      </c>
      <c r="C19" s="2">
        <v>36.133261059718699</v>
      </c>
      <c r="D19" t="str">
        <f t="shared" ca="1" si="1"/>
        <v>25/06/17</v>
      </c>
      <c r="E19" t="s">
        <v>893</v>
      </c>
      <c r="F19" t="s">
        <v>2</v>
      </c>
      <c r="G19" s="5">
        <v>61</v>
      </c>
      <c r="H19" t="s">
        <v>2076</v>
      </c>
    </row>
    <row r="20" spans="1:8">
      <c r="A20" s="5">
        <v>16</v>
      </c>
      <c r="B20" s="2">
        <f t="shared" ca="1" si="0"/>
        <v>47.437564222360955</v>
      </c>
      <c r="C20" s="2">
        <v>13.778687585586299</v>
      </c>
      <c r="D20" t="str">
        <f t="shared" ca="1" si="1"/>
        <v>13/07/18</v>
      </c>
      <c r="E20" t="s">
        <v>893</v>
      </c>
      <c r="F20" t="s">
        <v>2</v>
      </c>
      <c r="G20" s="5">
        <v>62</v>
      </c>
      <c r="H20" t="s">
        <v>2076</v>
      </c>
    </row>
    <row r="21" spans="1:8">
      <c r="A21" s="5">
        <v>17</v>
      </c>
      <c r="B21" s="2">
        <f t="shared" ca="1" si="0"/>
        <v>20.833849230191284</v>
      </c>
      <c r="C21" s="2">
        <v>29.666141518503501</v>
      </c>
      <c r="D21" t="str">
        <f t="shared" ca="1" si="1"/>
        <v>07/08/19</v>
      </c>
      <c r="E21" t="s">
        <v>893</v>
      </c>
      <c r="F21" t="s">
        <v>3</v>
      </c>
      <c r="G21" s="5">
        <v>63</v>
      </c>
      <c r="H21" t="s">
        <v>2076</v>
      </c>
    </row>
    <row r="22" spans="1:8">
      <c r="A22" s="5">
        <v>18</v>
      </c>
      <c r="B22" s="2">
        <f t="shared" ca="1" si="0"/>
        <v>51.696910293575883</v>
      </c>
      <c r="C22" s="2">
        <v>40.8792834273737</v>
      </c>
      <c r="D22" t="str">
        <f t="shared" ca="1" si="1"/>
        <v>07/10/19</v>
      </c>
      <c r="E22" t="s">
        <v>893</v>
      </c>
      <c r="F22" t="s">
        <v>3</v>
      </c>
      <c r="G22" s="5">
        <v>64</v>
      </c>
      <c r="H22" t="s">
        <v>2076</v>
      </c>
    </row>
    <row r="23" spans="1:8">
      <c r="A23" s="5">
        <v>19</v>
      </c>
      <c r="B23" s="2">
        <f t="shared" ca="1" si="0"/>
        <v>72.813342939271806</v>
      </c>
      <c r="C23" s="2">
        <v>36.408561675739698</v>
      </c>
      <c r="D23" t="str">
        <f t="shared" ca="1" si="1"/>
        <v>01/07/20</v>
      </c>
      <c r="E23" t="s">
        <v>893</v>
      </c>
      <c r="F23" t="s">
        <v>3</v>
      </c>
      <c r="G23" s="5">
        <v>65</v>
      </c>
      <c r="H23" t="s">
        <v>2076</v>
      </c>
    </row>
    <row r="24" spans="1:8">
      <c r="A24" s="5">
        <v>20</v>
      </c>
      <c r="B24" s="2">
        <f t="shared" ca="1" si="0"/>
        <v>71.687361655376577</v>
      </c>
      <c r="C24" s="2">
        <v>51.942647967183703</v>
      </c>
      <c r="D24" t="str">
        <f t="shared" ca="1" si="1"/>
        <v>04/06/17</v>
      </c>
      <c r="E24" t="s">
        <v>893</v>
      </c>
      <c r="F24" t="s">
        <v>3</v>
      </c>
      <c r="G24" s="5">
        <v>66</v>
      </c>
      <c r="H24" t="s">
        <v>2076</v>
      </c>
    </row>
    <row r="25" spans="1:8">
      <c r="A25" s="5">
        <v>21</v>
      </c>
      <c r="B25" s="2">
        <f t="shared" ca="1" si="0"/>
        <v>10.199670519020502</v>
      </c>
      <c r="C25" s="2">
        <v>35.088957567149798</v>
      </c>
      <c r="D25" t="str">
        <f t="shared" ca="1" si="1"/>
        <v>27/09/16</v>
      </c>
      <c r="E25" t="s">
        <v>893</v>
      </c>
      <c r="F25" t="s">
        <v>3</v>
      </c>
      <c r="G25" s="5">
        <v>67</v>
      </c>
      <c r="H25" t="s">
        <v>2076</v>
      </c>
    </row>
    <row r="26" spans="1:8">
      <c r="A26" s="5">
        <v>22</v>
      </c>
      <c r="B26" s="2">
        <f t="shared" ca="1" si="0"/>
        <v>83.153964761684406</v>
      </c>
      <c r="C26" s="2">
        <v>52.951718616120999</v>
      </c>
      <c r="D26" t="str">
        <f t="shared" ca="1" si="1"/>
        <v>14/03/20</v>
      </c>
      <c r="E26" t="s">
        <v>893</v>
      </c>
      <c r="F26" t="s">
        <v>3</v>
      </c>
      <c r="G26" s="5">
        <v>68</v>
      </c>
      <c r="H26" t="s">
        <v>2076</v>
      </c>
    </row>
    <row r="27" spans="1:8">
      <c r="A27" s="5">
        <v>23</v>
      </c>
      <c r="B27" s="2">
        <f t="shared" ca="1" si="0"/>
        <v>78.287466067061047</v>
      </c>
      <c r="C27" s="2">
        <v>8.8552106979583698</v>
      </c>
      <c r="D27" t="str">
        <f t="shared" ca="1" si="1"/>
        <v>30/01/19</v>
      </c>
      <c r="E27" t="s">
        <v>893</v>
      </c>
      <c r="F27" t="s">
        <v>3</v>
      </c>
      <c r="G27" s="5">
        <v>69</v>
      </c>
      <c r="H27" t="s">
        <v>2076</v>
      </c>
    </row>
    <row r="28" spans="1:8">
      <c r="A28" s="5">
        <v>24</v>
      </c>
      <c r="B28" s="2">
        <f t="shared" ca="1" si="0"/>
        <v>39.078436363626224</v>
      </c>
      <c r="C28" s="2">
        <v>38.983367174350498</v>
      </c>
      <c r="D28" t="str">
        <f t="shared" ca="1" si="1"/>
        <v>23/05/20</v>
      </c>
      <c r="E28" t="s">
        <v>893</v>
      </c>
      <c r="F28" t="s">
        <v>2</v>
      </c>
      <c r="G28" s="5">
        <v>70</v>
      </c>
      <c r="H28" t="s">
        <v>2076</v>
      </c>
    </row>
    <row r="29" spans="1:8">
      <c r="A29" s="5">
        <v>25</v>
      </c>
      <c r="B29" s="2">
        <f t="shared" ca="1" si="0"/>
        <v>77.703819319785438</v>
      </c>
      <c r="C29" s="2">
        <v>25.0702624297382</v>
      </c>
      <c r="D29" t="str">
        <f t="shared" ca="1" si="1"/>
        <v>21/01/18</v>
      </c>
      <c r="E29" t="s">
        <v>893</v>
      </c>
      <c r="F29" t="s">
        <v>2</v>
      </c>
      <c r="G29" s="5">
        <v>79</v>
      </c>
      <c r="H29" t="s">
        <v>2076</v>
      </c>
    </row>
    <row r="30" spans="1:8">
      <c r="A30" s="5">
        <v>26</v>
      </c>
      <c r="B30" s="2">
        <f t="shared" ca="1" si="0"/>
        <v>80.118376558777882</v>
      </c>
      <c r="C30" s="2">
        <v>32.205193152391999</v>
      </c>
      <c r="D30" t="str">
        <f t="shared" ca="1" si="1"/>
        <v>08/04/17</v>
      </c>
      <c r="E30" t="s">
        <v>893</v>
      </c>
      <c r="F30" t="s">
        <v>2</v>
      </c>
      <c r="G30" s="5">
        <v>80</v>
      </c>
      <c r="H30" t="s">
        <v>2076</v>
      </c>
    </row>
    <row r="31" spans="1:8">
      <c r="A31" s="5">
        <v>27</v>
      </c>
      <c r="B31" s="2">
        <f t="shared" ca="1" si="0"/>
        <v>42.38301859263175</v>
      </c>
      <c r="C31" s="2">
        <v>29.681935727664602</v>
      </c>
      <c r="D31" t="str">
        <f t="shared" ca="1" si="1"/>
        <v>22/01/20</v>
      </c>
      <c r="E31" t="s">
        <v>893</v>
      </c>
      <c r="F31" t="s">
        <v>2</v>
      </c>
      <c r="G31" s="5">
        <v>82</v>
      </c>
      <c r="H31" t="s">
        <v>2076</v>
      </c>
    </row>
    <row r="32" spans="1:8">
      <c r="A32" s="5">
        <v>28</v>
      </c>
      <c r="B32" s="2">
        <f t="shared" ca="1" si="0"/>
        <v>32.779092498402079</v>
      </c>
      <c r="C32" s="2">
        <v>39.205058116711498</v>
      </c>
      <c r="D32" t="str">
        <f t="shared" ca="1" si="1"/>
        <v>03/05/17</v>
      </c>
      <c r="E32" t="s">
        <v>893</v>
      </c>
      <c r="F32" t="s">
        <v>2</v>
      </c>
      <c r="G32" s="5">
        <v>83</v>
      </c>
      <c r="H32" t="s">
        <v>2076</v>
      </c>
    </row>
    <row r="33" spans="1:8">
      <c r="A33" s="5">
        <v>29</v>
      </c>
      <c r="B33" s="2">
        <f t="shared" ca="1" si="0"/>
        <v>52.92570198903654</v>
      </c>
      <c r="C33" s="2">
        <v>53.683109242687301</v>
      </c>
      <c r="D33" t="str">
        <f t="shared" ca="1" si="1"/>
        <v>26/04/16</v>
      </c>
      <c r="E33" t="s">
        <v>893</v>
      </c>
      <c r="F33" t="s">
        <v>2</v>
      </c>
      <c r="G33" s="5">
        <v>84</v>
      </c>
      <c r="H33" t="s">
        <v>2076</v>
      </c>
    </row>
    <row r="34" spans="1:8">
      <c r="A34" s="5">
        <v>30</v>
      </c>
      <c r="B34" s="2">
        <f t="shared" ca="1" si="0"/>
        <v>32.933805129196109</v>
      </c>
      <c r="C34" s="2">
        <v>33.768348021886801</v>
      </c>
      <c r="D34" t="str">
        <f t="shared" ca="1" si="1"/>
        <v>02/03/20</v>
      </c>
      <c r="E34" t="s">
        <v>893</v>
      </c>
      <c r="F34" t="s">
        <v>2</v>
      </c>
      <c r="G34" s="5">
        <v>85</v>
      </c>
      <c r="H34" t="s">
        <v>2076</v>
      </c>
    </row>
    <row r="35" spans="1:8">
      <c r="A35" s="5">
        <v>31</v>
      </c>
      <c r="B35" s="2">
        <f t="shared" ca="1" si="0"/>
        <v>62.296600733666054</v>
      </c>
      <c r="C35" s="2">
        <v>23.296097230588501</v>
      </c>
      <c r="D35" t="str">
        <f t="shared" ca="1" si="1"/>
        <v>06/04/16</v>
      </c>
      <c r="E35" t="s">
        <v>893</v>
      </c>
      <c r="F35" t="s">
        <v>2</v>
      </c>
      <c r="G35" s="5">
        <v>86</v>
      </c>
      <c r="H35" t="s">
        <v>2077</v>
      </c>
    </row>
    <row r="36" spans="1:8">
      <c r="A36" s="5">
        <v>32</v>
      </c>
      <c r="B36" s="2">
        <f t="shared" ca="1" si="0"/>
        <v>24.291285748152941</v>
      </c>
      <c r="C36" s="2">
        <v>31.1683020162952</v>
      </c>
      <c r="D36" t="str">
        <f t="shared" ca="1" si="1"/>
        <v>26/11/17</v>
      </c>
      <c r="E36" t="s">
        <v>893</v>
      </c>
      <c r="F36" t="s">
        <v>2</v>
      </c>
      <c r="G36" s="5">
        <v>87</v>
      </c>
      <c r="H36" t="s">
        <v>2077</v>
      </c>
    </row>
    <row r="37" spans="1:8">
      <c r="A37" s="5">
        <v>33</v>
      </c>
      <c r="B37" s="2">
        <f t="shared" ca="1" si="0"/>
        <v>23.955761025120776</v>
      </c>
      <c r="C37" s="2">
        <v>30.1097476965592</v>
      </c>
      <c r="D37" t="str">
        <f t="shared" ca="1" si="1"/>
        <v>12/04/18</v>
      </c>
      <c r="E37" t="s">
        <v>893</v>
      </c>
      <c r="F37" t="s">
        <v>2</v>
      </c>
      <c r="G37" s="5">
        <v>88</v>
      </c>
      <c r="H37" t="s">
        <v>2077</v>
      </c>
    </row>
    <row r="38" spans="1:8">
      <c r="A38" s="5">
        <v>34</v>
      </c>
      <c r="B38" s="2">
        <f t="shared" ca="1" si="0"/>
        <v>39.29124860496011</v>
      </c>
      <c r="C38" s="2">
        <v>28.095724890506599</v>
      </c>
      <c r="D38" t="str">
        <f t="shared" ca="1" si="1"/>
        <v>09/08/16</v>
      </c>
      <c r="E38" t="s">
        <v>893</v>
      </c>
      <c r="F38" t="s">
        <v>2</v>
      </c>
      <c r="G38" s="5">
        <v>89</v>
      </c>
      <c r="H38" t="s">
        <v>2077</v>
      </c>
    </row>
    <row r="39" spans="1:8">
      <c r="A39" s="5">
        <v>35</v>
      </c>
      <c r="B39" s="2">
        <f t="shared" ca="1" si="0"/>
        <v>36.817986949976991</v>
      </c>
      <c r="C39" s="2">
        <v>46.319027586812197</v>
      </c>
      <c r="D39" t="str">
        <f t="shared" ca="1" si="1"/>
        <v>09/07/19</v>
      </c>
      <c r="E39" t="s">
        <v>893</v>
      </c>
      <c r="F39" t="s">
        <v>2</v>
      </c>
      <c r="G39" s="5">
        <v>90</v>
      </c>
      <c r="H39" t="s">
        <v>2077</v>
      </c>
    </row>
    <row r="40" spans="1:8">
      <c r="A40" s="5">
        <v>36</v>
      </c>
      <c r="B40" s="2">
        <f t="shared" ca="1" si="0"/>
        <v>59.452678465780188</v>
      </c>
      <c r="C40" s="2">
        <v>13.1368924433228</v>
      </c>
      <c r="D40" t="str">
        <f t="shared" ca="1" si="1"/>
        <v>03/05/19</v>
      </c>
      <c r="E40" t="s">
        <v>893</v>
      </c>
      <c r="F40" t="s">
        <v>2</v>
      </c>
      <c r="G40" s="5">
        <v>91</v>
      </c>
      <c r="H40" t="s">
        <v>2077</v>
      </c>
    </row>
    <row r="41" spans="1:8">
      <c r="A41" s="5">
        <v>37</v>
      </c>
      <c r="B41" s="2">
        <f t="shared" ca="1" si="0"/>
        <v>35.139637526029986</v>
      </c>
      <c r="C41" s="2">
        <v>44.228160059531596</v>
      </c>
      <c r="D41" t="str">
        <f t="shared" ca="1" si="1"/>
        <v>28/03/19</v>
      </c>
      <c r="E41" t="s">
        <v>893</v>
      </c>
      <c r="F41" t="s">
        <v>2</v>
      </c>
      <c r="G41" s="5">
        <v>92</v>
      </c>
      <c r="H41" t="s">
        <v>2077</v>
      </c>
    </row>
    <row r="42" spans="1:8">
      <c r="A42" s="5">
        <v>38</v>
      </c>
      <c r="B42" s="2">
        <f t="shared" ca="1" si="0"/>
        <v>64.968258549934532</v>
      </c>
      <c r="C42" s="2">
        <v>27.798998722333</v>
      </c>
      <c r="D42" t="str">
        <f t="shared" ca="1" si="1"/>
        <v>02/10/20</v>
      </c>
      <c r="E42" t="s">
        <v>893</v>
      </c>
      <c r="F42" t="s">
        <v>2</v>
      </c>
      <c r="G42" s="5">
        <v>93</v>
      </c>
      <c r="H42" t="s">
        <v>2077</v>
      </c>
    </row>
    <row r="43" spans="1:8">
      <c r="A43" s="5">
        <v>39</v>
      </c>
      <c r="B43" s="2">
        <f t="shared" ca="1" si="0"/>
        <v>29.416718292700786</v>
      </c>
      <c r="C43" s="2">
        <v>33.151849160750302</v>
      </c>
      <c r="D43" t="str">
        <f t="shared" ca="1" si="1"/>
        <v>02/06/16</v>
      </c>
      <c r="E43" t="s">
        <v>893</v>
      </c>
      <c r="F43" t="s">
        <v>2</v>
      </c>
      <c r="G43" s="5">
        <v>94</v>
      </c>
      <c r="H43" t="s">
        <v>2077</v>
      </c>
    </row>
    <row r="44" spans="1:8">
      <c r="A44" s="5">
        <v>40</v>
      </c>
      <c r="B44" s="2">
        <f t="shared" ca="1" si="0"/>
        <v>73.609727853136846</v>
      </c>
      <c r="C44" s="2">
        <v>25.887510080821201</v>
      </c>
      <c r="D44" t="str">
        <f t="shared" ca="1" si="1"/>
        <v>11/02/16</v>
      </c>
      <c r="E44" t="s">
        <v>893</v>
      </c>
      <c r="F44" t="s">
        <v>2</v>
      </c>
      <c r="G44" s="5">
        <v>95</v>
      </c>
      <c r="H44" t="s">
        <v>2077</v>
      </c>
    </row>
    <row r="45" spans="1:8">
      <c r="A45" s="5">
        <v>41</v>
      </c>
      <c r="B45" s="2">
        <f t="shared" ca="1" si="0"/>
        <v>35.8108835125323</v>
      </c>
      <c r="C45" s="2">
        <v>22.5838285500576</v>
      </c>
      <c r="D45" t="str">
        <f t="shared" ca="1" si="1"/>
        <v>29/08/16</v>
      </c>
      <c r="E45" t="s">
        <v>893</v>
      </c>
      <c r="F45" t="s">
        <v>2</v>
      </c>
      <c r="G45" s="5">
        <v>96</v>
      </c>
      <c r="H45" t="s">
        <v>2077</v>
      </c>
    </row>
    <row r="46" spans="1:8">
      <c r="A46" s="5">
        <v>42</v>
      </c>
      <c r="B46" s="2">
        <f t="shared" ca="1" si="0"/>
        <v>67.499878534612435</v>
      </c>
      <c r="C46" s="2">
        <v>48.419141867588102</v>
      </c>
      <c r="D46" t="str">
        <f t="shared" ca="1" si="1"/>
        <v>09/05/18</v>
      </c>
      <c r="E46" t="s">
        <v>893</v>
      </c>
      <c r="F46" t="s">
        <v>2</v>
      </c>
      <c r="G46" s="5">
        <v>97</v>
      </c>
      <c r="H46" t="s">
        <v>2077</v>
      </c>
    </row>
    <row r="47" spans="1:8">
      <c r="A47" s="5">
        <v>43</v>
      </c>
      <c r="B47" s="2">
        <f t="shared" ca="1" si="0"/>
        <v>16.610662028981288</v>
      </c>
      <c r="C47" s="2">
        <v>41.468100345228898</v>
      </c>
      <c r="D47" t="str">
        <f t="shared" ca="1" si="1"/>
        <v>31/05/18</v>
      </c>
      <c r="E47" t="s">
        <v>893</v>
      </c>
      <c r="F47" t="s">
        <v>2</v>
      </c>
      <c r="G47" s="5">
        <v>98</v>
      </c>
      <c r="H47" t="s">
        <v>2077</v>
      </c>
    </row>
    <row r="48" spans="1:8">
      <c r="A48" s="5">
        <v>44</v>
      </c>
      <c r="B48" s="2">
        <f t="shared" ca="1" si="0"/>
        <v>24.814618716619727</v>
      </c>
      <c r="C48" s="2">
        <v>29.274362078528402</v>
      </c>
      <c r="D48" t="str">
        <f t="shared" ca="1" si="1"/>
        <v>13/08/20</v>
      </c>
      <c r="E48" t="s">
        <v>893</v>
      </c>
      <c r="F48" t="s">
        <v>2</v>
      </c>
      <c r="G48" s="5">
        <v>99</v>
      </c>
      <c r="H48" t="s">
        <v>2077</v>
      </c>
    </row>
    <row r="49" spans="1:8">
      <c r="A49" s="5">
        <v>45</v>
      </c>
      <c r="B49" s="2">
        <f t="shared" ca="1" si="0"/>
        <v>78.222695001029635</v>
      </c>
      <c r="C49" s="2">
        <v>45.456512639819799</v>
      </c>
      <c r="D49" t="str">
        <f t="shared" ca="1" si="1"/>
        <v>09/06/17</v>
      </c>
      <c r="E49" t="s">
        <v>893</v>
      </c>
      <c r="F49" t="s">
        <v>2</v>
      </c>
      <c r="G49" s="5">
        <v>100</v>
      </c>
      <c r="H49" t="s">
        <v>2077</v>
      </c>
    </row>
    <row r="50" spans="1:8">
      <c r="A50" s="5">
        <v>46</v>
      </c>
      <c r="B50" s="2">
        <f t="shared" ca="1" si="0"/>
        <v>42.940339295898035</v>
      </c>
      <c r="C50" s="2">
        <v>8.2185378592272293</v>
      </c>
      <c r="D50" t="str">
        <f t="shared" ca="1" si="1"/>
        <v>30/12/18</v>
      </c>
      <c r="E50" t="s">
        <v>1438</v>
      </c>
      <c r="F50" t="s">
        <v>2</v>
      </c>
      <c r="G50" s="5">
        <v>101</v>
      </c>
      <c r="H50" t="s">
        <v>2077</v>
      </c>
    </row>
    <row r="51" spans="1:8">
      <c r="A51" s="5">
        <v>47</v>
      </c>
      <c r="B51" s="2">
        <f t="shared" ca="1" si="0"/>
        <v>14.518828337767221</v>
      </c>
      <c r="C51" s="2">
        <v>10.858267519337801</v>
      </c>
      <c r="D51" t="str">
        <f t="shared" ca="1" si="1"/>
        <v>18/09/18</v>
      </c>
      <c r="E51" t="s">
        <v>1438</v>
      </c>
      <c r="F51" t="s">
        <v>2</v>
      </c>
      <c r="G51" s="5">
        <v>102</v>
      </c>
      <c r="H51" t="s">
        <v>2077</v>
      </c>
    </row>
    <row r="52" spans="1:8">
      <c r="A52" s="5">
        <v>48</v>
      </c>
      <c r="B52" s="2">
        <f t="shared" ca="1" si="0"/>
        <v>74.054348211812496</v>
      </c>
      <c r="C52" s="2">
        <v>13.8386536469196</v>
      </c>
      <c r="D52" t="str">
        <f t="shared" ca="1" si="1"/>
        <v>24/11/19</v>
      </c>
      <c r="E52" t="s">
        <v>1438</v>
      </c>
      <c r="F52" t="s">
        <v>2</v>
      </c>
      <c r="G52" s="5">
        <v>103</v>
      </c>
      <c r="H52" t="s">
        <v>2077</v>
      </c>
    </row>
    <row r="53" spans="1:8">
      <c r="A53" s="5">
        <v>49</v>
      </c>
      <c r="B53" s="2">
        <f t="shared" ca="1" si="0"/>
        <v>81.641743927175014</v>
      </c>
      <c r="C53" s="2">
        <v>25.4773518586492</v>
      </c>
      <c r="D53" t="str">
        <f t="shared" ca="1" si="1"/>
        <v>30/11/18</v>
      </c>
      <c r="E53" t="s">
        <v>1438</v>
      </c>
      <c r="F53" t="s">
        <v>2</v>
      </c>
      <c r="G53" s="5">
        <v>104</v>
      </c>
      <c r="H53" t="s">
        <v>2077</v>
      </c>
    </row>
    <row r="54" spans="1:8">
      <c r="A54" s="5">
        <v>50</v>
      </c>
      <c r="B54" s="2">
        <f t="shared" ca="1" si="0"/>
        <v>24.161035012652146</v>
      </c>
      <c r="C54" s="2">
        <v>10.092214688877499</v>
      </c>
      <c r="D54" t="str">
        <f t="shared" ca="1" si="1"/>
        <v>28/10/17</v>
      </c>
      <c r="E54" t="s">
        <v>1438</v>
      </c>
      <c r="F54" t="s">
        <v>2</v>
      </c>
      <c r="G54" s="5">
        <v>106</v>
      </c>
      <c r="H54" t="s">
        <v>2077</v>
      </c>
    </row>
    <row r="55" spans="1:8">
      <c r="A55" s="5">
        <v>51</v>
      </c>
      <c r="B55" s="2">
        <f t="shared" ca="1" si="0"/>
        <v>41.909000475884866</v>
      </c>
      <c r="C55" s="2">
        <v>9.4235393292072906</v>
      </c>
      <c r="D55" t="str">
        <f t="shared" ca="1" si="1"/>
        <v>30/06/17</v>
      </c>
      <c r="E55" t="s">
        <v>1438</v>
      </c>
      <c r="F55" t="s">
        <v>2</v>
      </c>
      <c r="G55" s="5">
        <v>107</v>
      </c>
      <c r="H55" t="s">
        <v>2077</v>
      </c>
    </row>
    <row r="56" spans="1:8">
      <c r="A56" s="5">
        <v>52</v>
      </c>
      <c r="B56" s="2">
        <f t="shared" ca="1" si="0"/>
        <v>58.321985647836726</v>
      </c>
      <c r="C56" s="2">
        <v>53.919426975112302</v>
      </c>
      <c r="D56" t="str">
        <f t="shared" ca="1" si="1"/>
        <v>14/01/19</v>
      </c>
      <c r="E56" t="s">
        <v>1438</v>
      </c>
      <c r="F56" t="s">
        <v>2</v>
      </c>
      <c r="G56" s="5">
        <v>108</v>
      </c>
      <c r="H56" t="s">
        <v>2077</v>
      </c>
    </row>
    <row r="57" spans="1:8">
      <c r="A57" s="5">
        <v>53</v>
      </c>
      <c r="B57" s="2">
        <f t="shared" ca="1" si="0"/>
        <v>22.562418067332057</v>
      </c>
      <c r="C57" s="2">
        <v>28.2746956573476</v>
      </c>
      <c r="D57" t="str">
        <f t="shared" ca="1" si="1"/>
        <v>08/09/20</v>
      </c>
      <c r="E57" t="s">
        <v>1438</v>
      </c>
      <c r="F57" t="s">
        <v>2</v>
      </c>
      <c r="G57" s="5">
        <v>109</v>
      </c>
      <c r="H57" t="s">
        <v>2077</v>
      </c>
    </row>
    <row r="58" spans="1:8">
      <c r="A58" s="5">
        <v>54</v>
      </c>
      <c r="B58" s="2">
        <f t="shared" ca="1" si="0"/>
        <v>28.224743202844245</v>
      </c>
      <c r="C58" s="2">
        <v>48.901064668078803</v>
      </c>
      <c r="D58" t="str">
        <f t="shared" ca="1" si="1"/>
        <v>27/03/16</v>
      </c>
      <c r="E58" t="s">
        <v>1438</v>
      </c>
      <c r="F58" t="s">
        <v>2</v>
      </c>
      <c r="G58" s="5">
        <v>110</v>
      </c>
      <c r="H58" t="s">
        <v>2077</v>
      </c>
    </row>
    <row r="59" spans="1:8">
      <c r="A59" s="5">
        <v>55</v>
      </c>
      <c r="B59" s="2">
        <f t="shared" ca="1" si="0"/>
        <v>71.089838816878881</v>
      </c>
      <c r="C59" s="2">
        <v>42.617189661199603</v>
      </c>
      <c r="D59" t="str">
        <f t="shared" ca="1" si="1"/>
        <v>07/03/17</v>
      </c>
      <c r="E59" t="s">
        <v>1438</v>
      </c>
      <c r="F59" t="s">
        <v>2</v>
      </c>
      <c r="G59" s="5">
        <v>112</v>
      </c>
      <c r="H59" t="s">
        <v>2077</v>
      </c>
    </row>
    <row r="60" spans="1:8">
      <c r="A60" s="5">
        <v>56</v>
      </c>
      <c r="B60" s="2">
        <f t="shared" ca="1" si="0"/>
        <v>28.545624057064199</v>
      </c>
      <c r="C60" s="2">
        <v>49.456421944494402</v>
      </c>
      <c r="D60" t="str">
        <f t="shared" ca="1" si="1"/>
        <v>20/06/19</v>
      </c>
      <c r="E60" t="s">
        <v>1438</v>
      </c>
      <c r="F60" t="s">
        <v>2</v>
      </c>
      <c r="G60" s="5">
        <v>113</v>
      </c>
      <c r="H60" t="s">
        <v>2077</v>
      </c>
    </row>
    <row r="61" spans="1:8">
      <c r="A61" s="5">
        <v>57</v>
      </c>
      <c r="B61" s="2">
        <f t="shared" ca="1" si="0"/>
        <v>43.373046214646415</v>
      </c>
      <c r="C61" s="2">
        <v>38.307774595797802</v>
      </c>
      <c r="D61" t="str">
        <f t="shared" ca="1" si="1"/>
        <v>19/11/19</v>
      </c>
      <c r="E61" t="s">
        <v>1438</v>
      </c>
      <c r="F61" t="s">
        <v>2</v>
      </c>
      <c r="G61" s="5">
        <v>114</v>
      </c>
      <c r="H61" t="s">
        <v>2077</v>
      </c>
    </row>
    <row r="62" spans="1:8">
      <c r="A62" s="5">
        <v>58</v>
      </c>
      <c r="B62" s="2">
        <f t="shared" ca="1" si="0"/>
        <v>15.991325232812233</v>
      </c>
      <c r="C62" s="2">
        <v>42.319982512414903</v>
      </c>
      <c r="D62" t="str">
        <f t="shared" ca="1" si="1"/>
        <v>18/05/20</v>
      </c>
      <c r="E62" t="s">
        <v>1438</v>
      </c>
      <c r="F62" t="s">
        <v>2</v>
      </c>
      <c r="G62" s="5">
        <v>115</v>
      </c>
      <c r="H62" t="s">
        <v>2077</v>
      </c>
    </row>
    <row r="63" spans="1:8">
      <c r="A63" s="5">
        <v>59</v>
      </c>
      <c r="B63" s="2">
        <f t="shared" ca="1" si="0"/>
        <v>40.460751401343991</v>
      </c>
      <c r="C63" s="2">
        <v>9.8567196124148495</v>
      </c>
      <c r="D63" t="str">
        <f t="shared" ca="1" si="1"/>
        <v>06/06/17</v>
      </c>
      <c r="E63" t="s">
        <v>1438</v>
      </c>
      <c r="F63" t="s">
        <v>2</v>
      </c>
      <c r="G63" s="5">
        <v>116</v>
      </c>
      <c r="H63" t="s">
        <v>2077</v>
      </c>
    </row>
    <row r="64" spans="1:8">
      <c r="A64" s="5">
        <v>60</v>
      </c>
      <c r="B64" s="2">
        <f t="shared" ca="1" si="0"/>
        <v>51.929929161755169</v>
      </c>
      <c r="C64" s="2">
        <v>25.771010697083899</v>
      </c>
      <c r="D64" t="str">
        <f t="shared" ca="1" si="1"/>
        <v>04/08/16</v>
      </c>
      <c r="E64" t="s">
        <v>1438</v>
      </c>
      <c r="F64" t="s">
        <v>2</v>
      </c>
      <c r="G64" s="5">
        <v>118</v>
      </c>
      <c r="H64" t="s">
        <v>2077</v>
      </c>
    </row>
    <row r="65" spans="1:8">
      <c r="A65" s="5">
        <v>61</v>
      </c>
      <c r="B65" s="2">
        <f t="shared" ca="1" si="0"/>
        <v>16.644253851714403</v>
      </c>
      <c r="C65" s="2">
        <v>27.9383006899413</v>
      </c>
      <c r="D65" t="str">
        <f t="shared" ca="1" si="1"/>
        <v>12/04/16</v>
      </c>
      <c r="E65" t="s">
        <v>1438</v>
      </c>
      <c r="F65" t="s">
        <v>2</v>
      </c>
      <c r="G65" s="5">
        <v>119</v>
      </c>
      <c r="H65" t="s">
        <v>2077</v>
      </c>
    </row>
    <row r="66" spans="1:8">
      <c r="A66" s="5">
        <v>62</v>
      </c>
      <c r="B66" s="2">
        <f t="shared" ca="1" si="0"/>
        <v>36.566704368361556</v>
      </c>
      <c r="C66" s="2">
        <v>11.066924255452401</v>
      </c>
      <c r="D66" t="str">
        <f t="shared" ca="1" si="1"/>
        <v>11/03/20</v>
      </c>
      <c r="E66" t="s">
        <v>1438</v>
      </c>
      <c r="F66" t="s">
        <v>2</v>
      </c>
      <c r="G66" s="5">
        <v>120</v>
      </c>
      <c r="H66" t="s">
        <v>2077</v>
      </c>
    </row>
    <row r="67" spans="1:8">
      <c r="A67" s="5">
        <v>63</v>
      </c>
      <c r="B67" s="2">
        <f t="shared" ca="1" si="0"/>
        <v>79.960419591439006</v>
      </c>
      <c r="C67" s="2">
        <v>47.0912259640454</v>
      </c>
      <c r="D67" t="str">
        <f t="shared" ca="1" si="1"/>
        <v>29/06/18</v>
      </c>
      <c r="E67" t="s">
        <v>1438</v>
      </c>
      <c r="F67" t="s">
        <v>2</v>
      </c>
      <c r="G67" s="5">
        <v>121</v>
      </c>
      <c r="H67" t="s">
        <v>2077</v>
      </c>
    </row>
    <row r="68" spans="1:8">
      <c r="A68" s="5">
        <v>64</v>
      </c>
      <c r="B68" s="2">
        <f t="shared" ca="1" si="0"/>
        <v>57.243730385084255</v>
      </c>
      <c r="C68" s="2">
        <v>53.043269838622301</v>
      </c>
      <c r="D68" t="str">
        <f t="shared" ca="1" si="1"/>
        <v>09/11/20</v>
      </c>
      <c r="E68" t="s">
        <v>1438</v>
      </c>
      <c r="F68" t="s">
        <v>2</v>
      </c>
      <c r="G68" s="5">
        <v>122</v>
      </c>
      <c r="H68" t="s">
        <v>2077</v>
      </c>
    </row>
    <row r="69" spans="1:8">
      <c r="A69" s="5">
        <v>65</v>
      </c>
      <c r="B69" s="2">
        <f t="shared" ca="1" si="0"/>
        <v>59.278998102476606</v>
      </c>
      <c r="C69" s="2">
        <v>39.356147775142198</v>
      </c>
      <c r="D69" t="str">
        <f t="shared" ca="1" si="1"/>
        <v>09/05/19</v>
      </c>
      <c r="E69" t="s">
        <v>1438</v>
      </c>
      <c r="F69" t="s">
        <v>2</v>
      </c>
      <c r="G69" s="5">
        <v>123</v>
      </c>
      <c r="H69" t="s">
        <v>2077</v>
      </c>
    </row>
    <row r="70" spans="1:8">
      <c r="A70" s="5">
        <v>66</v>
      </c>
      <c r="B70" s="2">
        <f t="shared" ref="B70:B122" ca="1" si="2">RAND()*78+6</f>
        <v>57.408832806677957</v>
      </c>
      <c r="C70" s="2">
        <v>52.659668223426799</v>
      </c>
      <c r="D70" t="str">
        <f t="shared" ref="D70:D122" ca="1" si="3">TEXT(RANDBETWEEN(DATE(2016,1,1),DATE(2020,12,31)),"dd/mm/yy")</f>
        <v>25/05/20</v>
      </c>
      <c r="E70" t="s">
        <v>1438</v>
      </c>
      <c r="F70" t="s">
        <v>2</v>
      </c>
      <c r="G70" s="5">
        <v>125</v>
      </c>
      <c r="H70" t="s">
        <v>2077</v>
      </c>
    </row>
    <row r="71" spans="1:8">
      <c r="A71" s="5">
        <v>67</v>
      </c>
      <c r="B71" s="2">
        <f t="shared" ca="1" si="2"/>
        <v>37.092069561332856</v>
      </c>
      <c r="C71" s="2">
        <v>9.5701733366704698</v>
      </c>
      <c r="D71" t="str">
        <f t="shared" ca="1" si="3"/>
        <v>15/07/18</v>
      </c>
      <c r="E71" t="s">
        <v>1438</v>
      </c>
      <c r="F71" t="s">
        <v>2</v>
      </c>
      <c r="G71" s="5">
        <v>126</v>
      </c>
      <c r="H71" t="s">
        <v>2077</v>
      </c>
    </row>
    <row r="72" spans="1:8">
      <c r="A72" s="5">
        <v>68</v>
      </c>
      <c r="B72" s="2">
        <f t="shared" ca="1" si="2"/>
        <v>38.746674028173274</v>
      </c>
      <c r="C72" s="2">
        <v>36.955063486691301</v>
      </c>
      <c r="D72" t="str">
        <f t="shared" ca="1" si="3"/>
        <v>28/01/20</v>
      </c>
      <c r="E72" t="s">
        <v>1438</v>
      </c>
      <c r="F72" t="s">
        <v>2</v>
      </c>
      <c r="G72" s="5">
        <v>127</v>
      </c>
      <c r="H72" t="s">
        <v>2077</v>
      </c>
    </row>
    <row r="73" spans="1:8">
      <c r="A73" s="5">
        <v>69</v>
      </c>
      <c r="B73" s="2">
        <f t="shared" ca="1" si="2"/>
        <v>47.508419277561018</v>
      </c>
      <c r="C73" s="2">
        <v>40.680002659295297</v>
      </c>
      <c r="D73" t="str">
        <f t="shared" ca="1" si="3"/>
        <v>16/04/17</v>
      </c>
      <c r="E73" t="s">
        <v>1438</v>
      </c>
      <c r="F73" t="s">
        <v>2</v>
      </c>
      <c r="G73" s="5">
        <v>128</v>
      </c>
      <c r="H73" t="s">
        <v>2077</v>
      </c>
    </row>
    <row r="74" spans="1:8">
      <c r="A74" s="5">
        <v>70</v>
      </c>
      <c r="B74" s="2">
        <f t="shared" ca="1" si="2"/>
        <v>27.132828762777113</v>
      </c>
      <c r="C74" s="2">
        <v>28.430132077801002</v>
      </c>
      <c r="D74" t="str">
        <f t="shared" ca="1" si="3"/>
        <v>23/04/20</v>
      </c>
      <c r="E74" t="s">
        <v>1438</v>
      </c>
      <c r="F74" t="s">
        <v>2</v>
      </c>
      <c r="G74" s="5">
        <v>129</v>
      </c>
      <c r="H74" t="s">
        <v>2077</v>
      </c>
    </row>
    <row r="75" spans="1:8">
      <c r="A75" s="5">
        <v>71</v>
      </c>
      <c r="B75" s="2">
        <f t="shared" ca="1" si="2"/>
        <v>37.770954844384903</v>
      </c>
      <c r="C75" s="2">
        <v>24.456688376474801</v>
      </c>
      <c r="D75" t="str">
        <f t="shared" ca="1" si="3"/>
        <v>04/11/17</v>
      </c>
      <c r="E75" t="s">
        <v>1438</v>
      </c>
      <c r="F75" t="s">
        <v>2</v>
      </c>
      <c r="G75" s="5">
        <v>131</v>
      </c>
      <c r="H75" t="s">
        <v>2077</v>
      </c>
    </row>
    <row r="76" spans="1:8">
      <c r="A76" s="5">
        <v>72</v>
      </c>
      <c r="B76" s="2">
        <f t="shared" ca="1" si="2"/>
        <v>79.144563508876061</v>
      </c>
      <c r="C76" s="2">
        <v>44.2688075926634</v>
      </c>
      <c r="D76" t="str">
        <f t="shared" ca="1" si="3"/>
        <v>10/06/17</v>
      </c>
      <c r="E76" t="s">
        <v>1438</v>
      </c>
      <c r="F76" t="s">
        <v>2</v>
      </c>
      <c r="G76" s="5">
        <v>132</v>
      </c>
      <c r="H76" t="s">
        <v>2077</v>
      </c>
    </row>
    <row r="77" spans="1:8">
      <c r="A77" s="5">
        <v>73</v>
      </c>
      <c r="B77" s="2">
        <f t="shared" ca="1" si="2"/>
        <v>29.966301761266205</v>
      </c>
      <c r="C77" s="2">
        <v>12.7161996266565</v>
      </c>
      <c r="D77" t="str">
        <f t="shared" ca="1" si="3"/>
        <v>20/01/16</v>
      </c>
      <c r="E77" t="s">
        <v>1438</v>
      </c>
      <c r="F77" t="s">
        <v>2</v>
      </c>
      <c r="G77" s="5">
        <v>135</v>
      </c>
      <c r="H77" t="s">
        <v>2077</v>
      </c>
    </row>
    <row r="78" spans="1:8">
      <c r="A78" s="5">
        <v>74</v>
      </c>
      <c r="B78" s="2">
        <f t="shared" ca="1" si="2"/>
        <v>63.029506267973964</v>
      </c>
      <c r="C78" s="2">
        <v>14.1119935329541</v>
      </c>
      <c r="D78" t="str">
        <f t="shared" ca="1" si="3"/>
        <v>17/03/16</v>
      </c>
      <c r="E78" t="s">
        <v>1438</v>
      </c>
      <c r="F78" t="s">
        <v>2</v>
      </c>
      <c r="G78" s="5">
        <v>136</v>
      </c>
      <c r="H78" t="s">
        <v>2077</v>
      </c>
    </row>
    <row r="79" spans="1:8">
      <c r="A79" s="5">
        <v>75</v>
      </c>
      <c r="B79" s="2">
        <f t="shared" ca="1" si="2"/>
        <v>35.021313421952868</v>
      </c>
      <c r="C79" s="2">
        <v>31.360544926342701</v>
      </c>
      <c r="D79" t="str">
        <f t="shared" ca="1" si="3"/>
        <v>04/02/16</v>
      </c>
      <c r="E79" t="s">
        <v>1438</v>
      </c>
      <c r="F79" t="s">
        <v>2</v>
      </c>
      <c r="G79" s="5">
        <v>137</v>
      </c>
      <c r="H79" t="s">
        <v>2077</v>
      </c>
    </row>
    <row r="80" spans="1:8">
      <c r="A80" s="5">
        <v>76</v>
      </c>
      <c r="B80" s="2">
        <f t="shared" ca="1" si="2"/>
        <v>24.896610857061848</v>
      </c>
      <c r="C80" s="2">
        <v>12.2305832003762</v>
      </c>
      <c r="D80" t="str">
        <f t="shared" ca="1" si="3"/>
        <v>09/03/16</v>
      </c>
      <c r="E80" t="s">
        <v>1438</v>
      </c>
      <c r="F80" t="s">
        <v>2</v>
      </c>
      <c r="G80" s="5">
        <v>138</v>
      </c>
      <c r="H80" t="s">
        <v>2078</v>
      </c>
    </row>
    <row r="81" spans="1:8">
      <c r="A81" s="5">
        <v>77</v>
      </c>
      <c r="B81" s="2">
        <f t="shared" ca="1" si="2"/>
        <v>57.386401341706183</v>
      </c>
      <c r="C81" s="2">
        <v>16.3942468847813</v>
      </c>
      <c r="D81" t="str">
        <f t="shared" ca="1" si="3"/>
        <v>05/03/18</v>
      </c>
      <c r="E81" t="s">
        <v>1438</v>
      </c>
      <c r="F81" t="s">
        <v>2</v>
      </c>
      <c r="G81" s="5">
        <v>139</v>
      </c>
      <c r="H81" t="s">
        <v>2078</v>
      </c>
    </row>
    <row r="82" spans="1:8">
      <c r="A82" s="5">
        <v>78</v>
      </c>
      <c r="B82" s="2">
        <f t="shared" ca="1" si="2"/>
        <v>14.907249558907681</v>
      </c>
      <c r="C82" s="2">
        <v>22.534486131028402</v>
      </c>
      <c r="D82" t="str">
        <f t="shared" ca="1" si="3"/>
        <v>09/07/19</v>
      </c>
      <c r="E82" t="s">
        <v>1438</v>
      </c>
      <c r="F82" t="s">
        <v>2</v>
      </c>
      <c r="G82" s="5">
        <v>140</v>
      </c>
      <c r="H82" t="s">
        <v>2078</v>
      </c>
    </row>
    <row r="83" spans="1:8">
      <c r="A83" s="5">
        <v>79</v>
      </c>
      <c r="B83" s="2">
        <f t="shared" ca="1" si="2"/>
        <v>39.211271745364272</v>
      </c>
      <c r="C83" s="2">
        <v>45.1066925362205</v>
      </c>
      <c r="D83" t="str">
        <f t="shared" ca="1" si="3"/>
        <v>03/01/20</v>
      </c>
      <c r="E83" t="s">
        <v>1438</v>
      </c>
      <c r="F83" t="s">
        <v>2</v>
      </c>
      <c r="G83" s="5">
        <v>102</v>
      </c>
      <c r="H83" t="s">
        <v>2078</v>
      </c>
    </row>
    <row r="84" spans="1:8">
      <c r="A84" s="5">
        <v>80</v>
      </c>
      <c r="B84" s="2">
        <f t="shared" ca="1" si="2"/>
        <v>19.784588090593349</v>
      </c>
      <c r="C84" s="2">
        <v>18.008612666704899</v>
      </c>
      <c r="D84" t="str">
        <f t="shared" ca="1" si="3"/>
        <v>26/02/18</v>
      </c>
      <c r="E84" t="s">
        <v>1438</v>
      </c>
      <c r="F84" t="s">
        <v>2</v>
      </c>
      <c r="G84" s="5">
        <v>103</v>
      </c>
      <c r="H84" t="s">
        <v>2078</v>
      </c>
    </row>
    <row r="85" spans="1:8">
      <c r="A85" s="5">
        <v>81</v>
      </c>
      <c r="B85" s="2">
        <f t="shared" ca="1" si="2"/>
        <v>41.594931959173998</v>
      </c>
      <c r="C85" s="2">
        <v>19.452333774205201</v>
      </c>
      <c r="D85" t="str">
        <f t="shared" ca="1" si="3"/>
        <v>25/03/20</v>
      </c>
      <c r="E85" t="s">
        <v>1438</v>
      </c>
      <c r="F85" t="s">
        <v>2</v>
      </c>
      <c r="G85" s="5">
        <v>104</v>
      </c>
      <c r="H85" t="s">
        <v>2078</v>
      </c>
    </row>
    <row r="86" spans="1:8">
      <c r="A86" s="5">
        <v>82</v>
      </c>
      <c r="B86" s="2">
        <f t="shared" ca="1" si="2"/>
        <v>10.05982716110011</v>
      </c>
      <c r="C86" s="2">
        <v>41.943547776388101</v>
      </c>
      <c r="D86" t="str">
        <f t="shared" ca="1" si="3"/>
        <v>27/11/18</v>
      </c>
      <c r="E86" t="s">
        <v>1438</v>
      </c>
      <c r="F86" t="s">
        <v>2</v>
      </c>
      <c r="G86" s="5">
        <v>106</v>
      </c>
      <c r="H86" t="s">
        <v>2078</v>
      </c>
    </row>
    <row r="87" spans="1:8">
      <c r="A87" s="5">
        <v>83</v>
      </c>
      <c r="B87" s="2">
        <f t="shared" ca="1" si="2"/>
        <v>62.077764435179937</v>
      </c>
      <c r="C87" s="2">
        <v>18.708041785871298</v>
      </c>
      <c r="D87" t="str">
        <f t="shared" ca="1" si="3"/>
        <v>20/08/19</v>
      </c>
      <c r="E87" t="s">
        <v>1438</v>
      </c>
      <c r="F87" t="s">
        <v>2</v>
      </c>
      <c r="G87" s="5">
        <v>107</v>
      </c>
      <c r="H87" t="s">
        <v>2078</v>
      </c>
    </row>
    <row r="88" spans="1:8">
      <c r="A88" s="5">
        <v>84</v>
      </c>
      <c r="B88" s="2">
        <f t="shared" ca="1" si="2"/>
        <v>38.829347633320232</v>
      </c>
      <c r="C88" s="2">
        <v>17.488806707515501</v>
      </c>
      <c r="D88" t="str">
        <f t="shared" ca="1" si="3"/>
        <v>04/09/18</v>
      </c>
      <c r="E88" t="s">
        <v>1438</v>
      </c>
      <c r="F88" t="s">
        <v>2</v>
      </c>
      <c r="G88" s="5">
        <v>108</v>
      </c>
      <c r="H88" t="s">
        <v>2078</v>
      </c>
    </row>
    <row r="89" spans="1:8">
      <c r="A89" s="5">
        <v>85</v>
      </c>
      <c r="B89" s="2">
        <f t="shared" ca="1" si="2"/>
        <v>17.590986684181289</v>
      </c>
      <c r="C89" s="2">
        <v>38.7913494364361</v>
      </c>
      <c r="D89" t="str">
        <f t="shared" ca="1" si="3"/>
        <v>11/07/19</v>
      </c>
      <c r="E89" t="s">
        <v>1438</v>
      </c>
      <c r="F89" t="s">
        <v>2</v>
      </c>
      <c r="G89" s="5">
        <v>109</v>
      </c>
      <c r="H89" t="s">
        <v>2078</v>
      </c>
    </row>
    <row r="90" spans="1:8">
      <c r="A90" s="5">
        <v>86</v>
      </c>
      <c r="B90" s="2">
        <f t="shared" ca="1" si="2"/>
        <v>35.49231809444359</v>
      </c>
      <c r="C90" s="2">
        <v>17.1415425532564</v>
      </c>
      <c r="D90" t="str">
        <f t="shared" ca="1" si="3"/>
        <v>07/10/19</v>
      </c>
      <c r="E90" t="s">
        <v>1438</v>
      </c>
      <c r="F90" t="s">
        <v>2</v>
      </c>
      <c r="G90" s="5">
        <v>110</v>
      </c>
      <c r="H90" t="s">
        <v>2078</v>
      </c>
    </row>
    <row r="91" spans="1:8">
      <c r="A91" s="5">
        <v>87</v>
      </c>
      <c r="B91" s="2">
        <f t="shared" ca="1" si="2"/>
        <v>79.753787892986736</v>
      </c>
      <c r="C91" s="2">
        <v>49.224548075866302</v>
      </c>
      <c r="D91" t="str">
        <f t="shared" ca="1" si="3"/>
        <v>17/06/18</v>
      </c>
      <c r="E91" t="s">
        <v>1438</v>
      </c>
      <c r="F91" t="s">
        <v>2</v>
      </c>
      <c r="G91" s="5">
        <v>112</v>
      </c>
      <c r="H91" t="s">
        <v>2078</v>
      </c>
    </row>
    <row r="92" spans="1:8">
      <c r="A92" s="5">
        <v>88</v>
      </c>
      <c r="B92" s="2">
        <f t="shared" ca="1" si="2"/>
        <v>70.319384070362517</v>
      </c>
      <c r="C92" s="2">
        <v>36.9216343050471</v>
      </c>
      <c r="D92" t="str">
        <f t="shared" ca="1" si="3"/>
        <v>13/09/18</v>
      </c>
      <c r="E92" t="s">
        <v>1438</v>
      </c>
      <c r="F92" t="s">
        <v>2</v>
      </c>
      <c r="G92" s="5">
        <v>113</v>
      </c>
      <c r="H92" t="s">
        <v>2078</v>
      </c>
    </row>
    <row r="93" spans="1:8">
      <c r="A93" s="5">
        <v>89</v>
      </c>
      <c r="B93" s="2">
        <f t="shared" ca="1" si="2"/>
        <v>77.309348930733179</v>
      </c>
      <c r="C93" s="2">
        <v>29.1249038139612</v>
      </c>
      <c r="D93" t="str">
        <f t="shared" ca="1" si="3"/>
        <v>25/12/16</v>
      </c>
      <c r="E93" t="s">
        <v>1438</v>
      </c>
      <c r="F93" t="s">
        <v>2</v>
      </c>
      <c r="G93" s="5">
        <v>114</v>
      </c>
      <c r="H93" t="s">
        <v>2078</v>
      </c>
    </row>
    <row r="94" spans="1:8">
      <c r="A94" s="5">
        <v>90</v>
      </c>
      <c r="B94" s="2">
        <f t="shared" ca="1" si="2"/>
        <v>80.942465143696367</v>
      </c>
      <c r="C94" s="2">
        <v>31.494802229652699</v>
      </c>
      <c r="D94" t="str">
        <f t="shared" ca="1" si="3"/>
        <v>02/10/16</v>
      </c>
      <c r="E94" t="s">
        <v>1438</v>
      </c>
      <c r="F94" t="s">
        <v>2</v>
      </c>
      <c r="G94" s="5">
        <v>154</v>
      </c>
      <c r="H94" t="s">
        <v>2078</v>
      </c>
    </row>
    <row r="95" spans="1:8">
      <c r="A95" s="5">
        <v>91</v>
      </c>
      <c r="B95" s="2">
        <f t="shared" ca="1" si="2"/>
        <v>32.543028948152781</v>
      </c>
      <c r="C95" s="2">
        <v>43.550487356084403</v>
      </c>
      <c r="D95" t="str">
        <f t="shared" ca="1" si="3"/>
        <v>30/11/16</v>
      </c>
      <c r="E95" t="s">
        <v>1438</v>
      </c>
      <c r="F95" t="s">
        <v>2</v>
      </c>
      <c r="G95" s="5">
        <v>155</v>
      </c>
      <c r="H95" t="s">
        <v>2078</v>
      </c>
    </row>
    <row r="96" spans="1:8">
      <c r="A96" s="5">
        <v>92</v>
      </c>
      <c r="B96" s="2">
        <f t="shared" ca="1" si="2"/>
        <v>80.512351841329718</v>
      </c>
      <c r="C96" s="2">
        <v>36.567166703332603</v>
      </c>
      <c r="D96" t="str">
        <f t="shared" ca="1" si="3"/>
        <v>03/03/18</v>
      </c>
      <c r="E96" t="s">
        <v>1438</v>
      </c>
      <c r="F96" t="s">
        <v>2</v>
      </c>
      <c r="G96" s="5">
        <v>156</v>
      </c>
      <c r="H96" t="s">
        <v>2078</v>
      </c>
    </row>
    <row r="97" spans="1:8">
      <c r="A97" s="5">
        <v>93</v>
      </c>
      <c r="B97" s="2">
        <f t="shared" ca="1" si="2"/>
        <v>17.215441462536134</v>
      </c>
      <c r="C97" s="2">
        <v>44.172281257187798</v>
      </c>
      <c r="D97" t="str">
        <f t="shared" ca="1" si="3"/>
        <v>27/01/19</v>
      </c>
      <c r="E97" t="s">
        <v>1438</v>
      </c>
      <c r="F97" t="s">
        <v>2</v>
      </c>
      <c r="G97" s="5">
        <v>157</v>
      </c>
      <c r="H97" t="s">
        <v>2078</v>
      </c>
    </row>
    <row r="98" spans="1:8">
      <c r="A98" s="5">
        <v>94</v>
      </c>
      <c r="B98" s="2">
        <f t="shared" ca="1" si="2"/>
        <v>51.932787733937893</v>
      </c>
      <c r="C98" s="2">
        <v>11.265098310175</v>
      </c>
      <c r="D98" t="str">
        <f t="shared" ca="1" si="3"/>
        <v>13/09/18</v>
      </c>
      <c r="E98" t="s">
        <v>1438</v>
      </c>
      <c r="F98" t="s">
        <v>2</v>
      </c>
      <c r="G98" s="5">
        <v>158</v>
      </c>
      <c r="H98" t="s">
        <v>2078</v>
      </c>
    </row>
    <row r="99" spans="1:8">
      <c r="A99" s="5">
        <v>95</v>
      </c>
      <c r="B99" s="2">
        <f t="shared" ca="1" si="2"/>
        <v>47.083082097495364</v>
      </c>
      <c r="C99" s="2">
        <v>14.835097560123099</v>
      </c>
      <c r="D99" t="str">
        <f t="shared" ca="1" si="3"/>
        <v>14/01/17</v>
      </c>
      <c r="E99" t="s">
        <v>1438</v>
      </c>
      <c r="F99" t="s">
        <v>2</v>
      </c>
      <c r="G99" s="5">
        <v>64</v>
      </c>
      <c r="H99" t="s">
        <v>2078</v>
      </c>
    </row>
    <row r="100" spans="1:8">
      <c r="A100" s="5">
        <v>96</v>
      </c>
      <c r="B100" s="2">
        <f t="shared" ca="1" si="2"/>
        <v>54.386837644034898</v>
      </c>
      <c r="C100" s="2">
        <v>20.4635308184608</v>
      </c>
      <c r="D100" t="str">
        <f t="shared" ca="1" si="3"/>
        <v>24/08/20</v>
      </c>
      <c r="E100" t="s">
        <v>1438</v>
      </c>
      <c r="F100" t="s">
        <v>2</v>
      </c>
      <c r="G100" s="5">
        <v>65</v>
      </c>
      <c r="H100" t="s">
        <v>2078</v>
      </c>
    </row>
    <row r="101" spans="1:8">
      <c r="A101" s="5">
        <v>97</v>
      </c>
      <c r="B101" s="2">
        <f t="shared" ca="1" si="2"/>
        <v>65.437230916056308</v>
      </c>
      <c r="C101" s="2">
        <v>23.965984996735401</v>
      </c>
      <c r="D101" t="str">
        <f t="shared" ca="1" si="3"/>
        <v>06/08/20</v>
      </c>
      <c r="E101" t="s">
        <v>1438</v>
      </c>
      <c r="F101" t="s">
        <v>2</v>
      </c>
      <c r="G101" s="5">
        <v>66</v>
      </c>
      <c r="H101" t="s">
        <v>2078</v>
      </c>
    </row>
    <row r="102" spans="1:8">
      <c r="A102" s="5">
        <v>98</v>
      </c>
      <c r="B102" s="2">
        <f t="shared" ca="1" si="2"/>
        <v>59.354660707298777</v>
      </c>
      <c r="C102" s="2">
        <v>47.074059200432103</v>
      </c>
      <c r="D102" t="str">
        <f t="shared" ca="1" si="3"/>
        <v>01/07/16</v>
      </c>
      <c r="E102" t="s">
        <v>1438</v>
      </c>
      <c r="F102" t="s">
        <v>2</v>
      </c>
      <c r="G102" s="5">
        <v>67</v>
      </c>
      <c r="H102" t="s">
        <v>2078</v>
      </c>
    </row>
    <row r="103" spans="1:8">
      <c r="A103" s="5">
        <v>99</v>
      </c>
      <c r="B103" s="2">
        <f t="shared" ca="1" si="2"/>
        <v>55.98568666634548</v>
      </c>
      <c r="C103" s="2">
        <v>10.355307223899199</v>
      </c>
      <c r="D103" t="str">
        <f t="shared" ca="1" si="3"/>
        <v>20/06/18</v>
      </c>
      <c r="E103" t="s">
        <v>1438</v>
      </c>
      <c r="F103" t="s">
        <v>2</v>
      </c>
      <c r="G103" s="5">
        <v>68</v>
      </c>
      <c r="H103" t="s">
        <v>2078</v>
      </c>
    </row>
    <row r="104" spans="1:8">
      <c r="A104" s="5">
        <v>100</v>
      </c>
      <c r="B104" s="2">
        <f t="shared" ca="1" si="2"/>
        <v>75.280800413291047</v>
      </c>
      <c r="C104" s="2">
        <v>10.2627683967774</v>
      </c>
      <c r="D104" t="str">
        <f t="shared" ca="1" si="3"/>
        <v>08/03/17</v>
      </c>
      <c r="E104" t="s">
        <v>1438</v>
      </c>
      <c r="F104" t="s">
        <v>3</v>
      </c>
      <c r="G104" s="5">
        <v>69</v>
      </c>
      <c r="H104" t="s">
        <v>2078</v>
      </c>
    </row>
    <row r="105" spans="1:8">
      <c r="A105" s="5">
        <v>101</v>
      </c>
      <c r="B105" s="2">
        <f t="shared" ca="1" si="2"/>
        <v>74.956063413262726</v>
      </c>
      <c r="C105" s="2">
        <v>46.116533540888597</v>
      </c>
      <c r="D105" t="str">
        <f t="shared" ca="1" si="3"/>
        <v>08/04/17</v>
      </c>
      <c r="E105" t="s">
        <v>1438</v>
      </c>
      <c r="F105" t="s">
        <v>3</v>
      </c>
      <c r="G105" s="5">
        <v>70</v>
      </c>
      <c r="H105" t="s">
        <v>2078</v>
      </c>
    </row>
    <row r="106" spans="1:8">
      <c r="A106" s="5">
        <v>102</v>
      </c>
      <c r="B106" s="2">
        <f t="shared" ca="1" si="2"/>
        <v>41.26994755843635</v>
      </c>
      <c r="C106" s="2">
        <v>42.2433988824069</v>
      </c>
      <c r="D106" t="str">
        <f t="shared" ca="1" si="3"/>
        <v>08/04/16</v>
      </c>
      <c r="E106" t="s">
        <v>1438</v>
      </c>
      <c r="F106" t="s">
        <v>3</v>
      </c>
      <c r="G106" s="5">
        <v>79</v>
      </c>
      <c r="H106" t="s">
        <v>2078</v>
      </c>
    </row>
    <row r="107" spans="1:8">
      <c r="A107" s="5">
        <v>103</v>
      </c>
      <c r="B107" s="2">
        <f t="shared" ca="1" si="2"/>
        <v>30.979735895680136</v>
      </c>
      <c r="C107" s="2">
        <v>38.545115153308203</v>
      </c>
      <c r="D107" t="str">
        <f t="shared" ca="1" si="3"/>
        <v>02/10/18</v>
      </c>
      <c r="E107" t="s">
        <v>1438</v>
      </c>
      <c r="F107" t="s">
        <v>3</v>
      </c>
      <c r="G107" s="5">
        <v>80</v>
      </c>
      <c r="H107" t="s">
        <v>2078</v>
      </c>
    </row>
    <row r="108" spans="1:8">
      <c r="A108" s="5">
        <v>104</v>
      </c>
      <c r="B108" s="2">
        <f t="shared" ca="1" si="2"/>
        <v>50.242307962932223</v>
      </c>
      <c r="C108" s="2">
        <v>31.117629461074198</v>
      </c>
      <c r="D108" t="str">
        <f t="shared" ca="1" si="3"/>
        <v>27/11/17</v>
      </c>
      <c r="E108" t="s">
        <v>1438</v>
      </c>
      <c r="F108" t="s">
        <v>3</v>
      </c>
      <c r="G108" s="5">
        <v>82</v>
      </c>
      <c r="H108" t="s">
        <v>2078</v>
      </c>
    </row>
    <row r="109" spans="1:8">
      <c r="A109" s="5">
        <v>105</v>
      </c>
      <c r="B109" s="2">
        <f t="shared" ca="1" si="2"/>
        <v>41.843305586968462</v>
      </c>
      <c r="C109" s="2">
        <v>27.898756920855199</v>
      </c>
      <c r="D109" t="str">
        <f t="shared" ca="1" si="3"/>
        <v>23/07/18</v>
      </c>
      <c r="E109" t="s">
        <v>1438</v>
      </c>
      <c r="F109" t="s">
        <v>3</v>
      </c>
      <c r="G109" s="5">
        <v>83</v>
      </c>
      <c r="H109" t="s">
        <v>2078</v>
      </c>
    </row>
    <row r="110" spans="1:8">
      <c r="A110" s="5">
        <v>106</v>
      </c>
      <c r="B110" s="2">
        <f t="shared" ca="1" si="2"/>
        <v>19.148003744565671</v>
      </c>
      <c r="C110" s="2">
        <v>45.8543554854867</v>
      </c>
      <c r="D110" t="str">
        <f t="shared" ca="1" si="3"/>
        <v>01/08/20</v>
      </c>
      <c r="E110" t="s">
        <v>1438</v>
      </c>
      <c r="F110" t="s">
        <v>3</v>
      </c>
      <c r="G110" s="5">
        <v>84</v>
      </c>
      <c r="H110" t="s">
        <v>1135</v>
      </c>
    </row>
    <row r="111" spans="1:8">
      <c r="A111" s="5">
        <v>107</v>
      </c>
      <c r="B111" s="2">
        <f t="shared" ca="1" si="2"/>
        <v>31.757880763817077</v>
      </c>
      <c r="C111" s="2">
        <v>27.8204221978304</v>
      </c>
      <c r="D111" t="str">
        <f t="shared" ca="1" si="3"/>
        <v>02/02/20</v>
      </c>
      <c r="E111" t="s">
        <v>1438</v>
      </c>
      <c r="F111" t="s">
        <v>3</v>
      </c>
      <c r="G111" s="5">
        <v>85</v>
      </c>
      <c r="H111" t="s">
        <v>1135</v>
      </c>
    </row>
    <row r="112" spans="1:8">
      <c r="A112" s="5">
        <v>108</v>
      </c>
      <c r="B112" s="2">
        <f t="shared" ca="1" si="2"/>
        <v>40.996520924363658</v>
      </c>
      <c r="C112" s="2">
        <v>38.084910611278801</v>
      </c>
      <c r="D112" t="str">
        <f t="shared" ca="1" si="3"/>
        <v>21/02/18</v>
      </c>
      <c r="E112" t="s">
        <v>1438</v>
      </c>
      <c r="F112" t="s">
        <v>3</v>
      </c>
      <c r="G112" s="5">
        <v>86</v>
      </c>
      <c r="H112" t="s">
        <v>1135</v>
      </c>
    </row>
    <row r="113" spans="1:8">
      <c r="A113" s="5">
        <v>109</v>
      </c>
      <c r="B113" s="2">
        <f t="shared" ca="1" si="2"/>
        <v>32.273577426191281</v>
      </c>
      <c r="C113" s="2">
        <v>22.653889297921399</v>
      </c>
      <c r="D113" t="str">
        <f t="shared" ca="1" si="3"/>
        <v>21/09/17</v>
      </c>
      <c r="E113" t="s">
        <v>1438</v>
      </c>
      <c r="F113" t="s">
        <v>3</v>
      </c>
      <c r="G113" s="5">
        <v>87</v>
      </c>
      <c r="H113" t="s">
        <v>1135</v>
      </c>
    </row>
    <row r="114" spans="1:8">
      <c r="A114" s="5">
        <v>110</v>
      </c>
      <c r="B114" s="2">
        <f t="shared" ca="1" si="2"/>
        <v>28.236030728807076</v>
      </c>
      <c r="C114" s="2">
        <v>32.357668775552703</v>
      </c>
      <c r="D114" t="str">
        <f t="shared" ca="1" si="3"/>
        <v>15/12/18</v>
      </c>
      <c r="E114" t="s">
        <v>1438</v>
      </c>
      <c r="F114" t="s">
        <v>3</v>
      </c>
      <c r="G114" s="5">
        <v>88</v>
      </c>
      <c r="H114" t="s">
        <v>1135</v>
      </c>
    </row>
    <row r="115" spans="1:8">
      <c r="A115" s="5">
        <v>111</v>
      </c>
      <c r="B115" s="2">
        <f t="shared" ca="1" si="2"/>
        <v>74.292260457555031</v>
      </c>
      <c r="C115" s="2">
        <v>20.2222085140553</v>
      </c>
      <c r="D115" t="str">
        <f t="shared" ca="1" si="3"/>
        <v>03/04/17</v>
      </c>
      <c r="E115" t="s">
        <v>1438</v>
      </c>
      <c r="F115" t="s">
        <v>3</v>
      </c>
      <c r="G115" s="5">
        <v>89</v>
      </c>
      <c r="H115" t="s">
        <v>1135</v>
      </c>
    </row>
    <row r="116" spans="1:8">
      <c r="A116" s="5">
        <v>112</v>
      </c>
      <c r="B116" s="2">
        <f t="shared" ca="1" si="2"/>
        <v>82.042804023213662</v>
      </c>
      <c r="C116" s="2">
        <v>19.893694692475101</v>
      </c>
      <c r="D116" t="str">
        <f t="shared" ca="1" si="3"/>
        <v>05/10/20</v>
      </c>
      <c r="E116" t="s">
        <v>1438</v>
      </c>
      <c r="F116" t="s">
        <v>3</v>
      </c>
      <c r="G116" s="5">
        <v>90</v>
      </c>
      <c r="H116" t="s">
        <v>1135</v>
      </c>
    </row>
    <row r="117" spans="1:8">
      <c r="A117" s="5">
        <v>113</v>
      </c>
      <c r="B117" s="2">
        <f t="shared" ca="1" si="2"/>
        <v>69.535773616592692</v>
      </c>
      <c r="C117" s="2">
        <v>27.508461072486099</v>
      </c>
      <c r="D117" t="str">
        <f t="shared" ca="1" si="3"/>
        <v>21/08/19</v>
      </c>
      <c r="E117" t="s">
        <v>1438</v>
      </c>
      <c r="F117" t="s">
        <v>3</v>
      </c>
      <c r="G117" s="5">
        <v>91</v>
      </c>
      <c r="H117" t="s">
        <v>1135</v>
      </c>
    </row>
    <row r="118" spans="1:8">
      <c r="A118" s="5">
        <v>114</v>
      </c>
      <c r="B118" s="2">
        <f t="shared" ca="1" si="2"/>
        <v>53.773558043526513</v>
      </c>
      <c r="C118" s="2">
        <v>29.386608883310601</v>
      </c>
      <c r="D118" t="str">
        <f t="shared" ca="1" si="3"/>
        <v>15/02/17</v>
      </c>
      <c r="E118" t="s">
        <v>1438</v>
      </c>
      <c r="F118" t="s">
        <v>3</v>
      </c>
      <c r="G118" s="5">
        <v>126</v>
      </c>
      <c r="H118" t="s">
        <v>1135</v>
      </c>
    </row>
    <row r="119" spans="1:8">
      <c r="A119" s="5">
        <v>115</v>
      </c>
      <c r="B119" s="2">
        <f t="shared" ca="1" si="2"/>
        <v>48.76305719114896</v>
      </c>
      <c r="C119" s="2">
        <v>24.907399047795099</v>
      </c>
      <c r="D119" t="str">
        <f t="shared" ca="1" si="3"/>
        <v>07/09/16</v>
      </c>
      <c r="E119" t="s">
        <v>1438</v>
      </c>
      <c r="F119" t="s">
        <v>3</v>
      </c>
      <c r="G119" s="5">
        <v>127</v>
      </c>
      <c r="H119" t="s">
        <v>1135</v>
      </c>
    </row>
    <row r="120" spans="1:8">
      <c r="A120" s="5">
        <v>116</v>
      </c>
      <c r="B120" s="2">
        <f t="shared" ca="1" si="2"/>
        <v>16.326605938001286</v>
      </c>
      <c r="C120" s="2">
        <v>40.808668766434501</v>
      </c>
      <c r="D120" t="str">
        <f t="shared" ca="1" si="3"/>
        <v>21/11/18</v>
      </c>
      <c r="E120" t="s">
        <v>1438</v>
      </c>
      <c r="F120" t="s">
        <v>3</v>
      </c>
      <c r="G120" s="5">
        <v>128</v>
      </c>
      <c r="H120" t="s">
        <v>1135</v>
      </c>
    </row>
    <row r="121" spans="1:8">
      <c r="A121" s="5">
        <v>117</v>
      </c>
      <c r="B121" s="2">
        <f t="shared" ca="1" si="2"/>
        <v>82.868109648238047</v>
      </c>
      <c r="C121" s="2">
        <v>38.957948574541398</v>
      </c>
      <c r="D121" t="str">
        <f t="shared" ca="1" si="3"/>
        <v>08/07/16</v>
      </c>
      <c r="E121" t="s">
        <v>1438</v>
      </c>
      <c r="F121" t="s">
        <v>3</v>
      </c>
      <c r="G121" s="5">
        <v>129</v>
      </c>
      <c r="H121" t="s">
        <v>1135</v>
      </c>
    </row>
    <row r="122" spans="1:8">
      <c r="A122" s="5">
        <v>118</v>
      </c>
      <c r="B122" s="2">
        <f t="shared" ca="1" si="2"/>
        <v>18.443854553030604</v>
      </c>
      <c r="C122" s="2">
        <v>34.596250596125103</v>
      </c>
      <c r="D122" t="str">
        <f t="shared" ca="1" si="3"/>
        <v>04/05/16</v>
      </c>
      <c r="E122" t="s">
        <v>1438</v>
      </c>
      <c r="F122" t="s">
        <v>3</v>
      </c>
      <c r="G122" s="5">
        <v>131</v>
      </c>
      <c r="H122" t="s">
        <v>1135</v>
      </c>
    </row>
  </sheetData>
  <autoFilter ref="A4:H122" xr:uid="{00000000-0001-0000-1600-000000000000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D109"/>
  <sheetViews>
    <sheetView workbookViewId="0"/>
  </sheetViews>
  <sheetFormatPr defaultColWidth="9" defaultRowHeight="14.4"/>
  <cols>
    <col min="1" max="1" width="14.44140625" customWidth="1"/>
    <col min="2" max="2" width="18.33203125" customWidth="1"/>
    <col min="3" max="3" width="47.88671875" customWidth="1"/>
    <col min="4" max="4" width="36" customWidth="1"/>
  </cols>
  <sheetData>
    <row r="2" spans="1:4">
      <c r="B2" s="6" t="s">
        <v>0</v>
      </c>
      <c r="C2" s="7" t="s">
        <v>5</v>
      </c>
      <c r="D2" s="7" t="s">
        <v>1</v>
      </c>
    </row>
    <row r="3" spans="1:4">
      <c r="B3" s="8">
        <v>1</v>
      </c>
      <c r="C3" s="9" t="s">
        <v>2079</v>
      </c>
      <c r="D3" s="10"/>
    </row>
    <row r="4" spans="1:4">
      <c r="B4" s="8">
        <f>B3+1</f>
        <v>2</v>
      </c>
      <c r="C4" s="10" t="s">
        <v>2080</v>
      </c>
      <c r="D4" s="10"/>
    </row>
    <row r="9" spans="1:4">
      <c r="A9" s="1" t="s">
        <v>2081</v>
      </c>
      <c r="B9" s="1" t="s">
        <v>2082</v>
      </c>
    </row>
    <row r="10" spans="1:4">
      <c r="A10">
        <v>1</v>
      </c>
      <c r="B10" t="s">
        <v>2083</v>
      </c>
    </row>
    <row r="11" spans="1:4">
      <c r="A11">
        <v>2</v>
      </c>
      <c r="B11" t="s">
        <v>2083</v>
      </c>
    </row>
    <row r="12" spans="1:4">
      <c r="A12">
        <v>3</v>
      </c>
      <c r="B12" t="s">
        <v>2083</v>
      </c>
    </row>
    <row r="13" spans="1:4">
      <c r="A13">
        <v>4</v>
      </c>
      <c r="B13" t="s">
        <v>2083</v>
      </c>
    </row>
    <row r="14" spans="1:4">
      <c r="A14">
        <v>5</v>
      </c>
      <c r="B14" t="s">
        <v>2083</v>
      </c>
    </row>
    <row r="15" spans="1:4">
      <c r="A15">
        <v>6</v>
      </c>
      <c r="B15" t="s">
        <v>2083</v>
      </c>
    </row>
    <row r="16" spans="1:4">
      <c r="A16">
        <v>7</v>
      </c>
      <c r="B16" t="s">
        <v>2083</v>
      </c>
    </row>
    <row r="17" spans="1:2">
      <c r="A17">
        <v>8</v>
      </c>
      <c r="B17" t="s">
        <v>2083</v>
      </c>
    </row>
    <row r="18" spans="1:2">
      <c r="A18">
        <v>9</v>
      </c>
      <c r="B18" t="s">
        <v>2083</v>
      </c>
    </row>
    <row r="19" spans="1:2">
      <c r="A19">
        <v>10</v>
      </c>
      <c r="B19" t="s">
        <v>2083</v>
      </c>
    </row>
    <row r="20" spans="1:2">
      <c r="A20">
        <v>11</v>
      </c>
      <c r="B20" t="s">
        <v>2083</v>
      </c>
    </row>
    <row r="21" spans="1:2">
      <c r="A21">
        <v>12</v>
      </c>
      <c r="B21" t="s">
        <v>2083</v>
      </c>
    </row>
    <row r="22" spans="1:2">
      <c r="A22">
        <v>13</v>
      </c>
      <c r="B22" t="s">
        <v>2083</v>
      </c>
    </row>
    <row r="23" spans="1:2">
      <c r="A23">
        <v>14</v>
      </c>
      <c r="B23" t="s">
        <v>2083</v>
      </c>
    </row>
    <row r="24" spans="1:2">
      <c r="A24">
        <v>15</v>
      </c>
      <c r="B24" t="s">
        <v>2083</v>
      </c>
    </row>
    <row r="25" spans="1:2">
      <c r="A25">
        <v>16</v>
      </c>
      <c r="B25" t="s">
        <v>2083</v>
      </c>
    </row>
    <row r="26" spans="1:2">
      <c r="A26">
        <v>17</v>
      </c>
      <c r="B26" t="s">
        <v>2083</v>
      </c>
    </row>
    <row r="27" spans="1:2">
      <c r="A27">
        <v>18</v>
      </c>
      <c r="B27" t="s">
        <v>2083</v>
      </c>
    </row>
    <row r="28" spans="1:2">
      <c r="A28">
        <v>19</v>
      </c>
      <c r="B28" t="s">
        <v>2083</v>
      </c>
    </row>
    <row r="29" spans="1:2">
      <c r="A29">
        <v>20</v>
      </c>
      <c r="B29" t="s">
        <v>2083</v>
      </c>
    </row>
    <row r="30" spans="1:2">
      <c r="A30">
        <v>21</v>
      </c>
      <c r="B30" t="s">
        <v>2083</v>
      </c>
    </row>
    <row r="31" spans="1:2">
      <c r="A31">
        <v>22</v>
      </c>
      <c r="B31" t="s">
        <v>2083</v>
      </c>
    </row>
    <row r="32" spans="1:2">
      <c r="A32">
        <v>23</v>
      </c>
      <c r="B32" t="s">
        <v>2083</v>
      </c>
    </row>
    <row r="33" spans="1:2">
      <c r="A33">
        <v>24</v>
      </c>
      <c r="B33" t="s">
        <v>2083</v>
      </c>
    </row>
    <row r="34" spans="1:2">
      <c r="A34">
        <v>25</v>
      </c>
      <c r="B34" t="s">
        <v>2083</v>
      </c>
    </row>
    <row r="35" spans="1:2">
      <c r="A35">
        <v>26</v>
      </c>
      <c r="B35" t="s">
        <v>2083</v>
      </c>
    </row>
    <row r="36" spans="1:2">
      <c r="A36">
        <v>27</v>
      </c>
      <c r="B36" t="s">
        <v>2083</v>
      </c>
    </row>
    <row r="37" spans="1:2">
      <c r="A37">
        <v>28</v>
      </c>
      <c r="B37" t="s">
        <v>2083</v>
      </c>
    </row>
    <row r="38" spans="1:2">
      <c r="A38">
        <v>29</v>
      </c>
      <c r="B38" t="s">
        <v>2083</v>
      </c>
    </row>
    <row r="39" spans="1:2">
      <c r="A39">
        <v>30</v>
      </c>
      <c r="B39" t="s">
        <v>2083</v>
      </c>
    </row>
    <row r="40" spans="1:2">
      <c r="A40">
        <v>31</v>
      </c>
      <c r="B40" t="s">
        <v>2083</v>
      </c>
    </row>
    <row r="41" spans="1:2">
      <c r="A41">
        <v>32</v>
      </c>
      <c r="B41" t="s">
        <v>2083</v>
      </c>
    </row>
    <row r="42" spans="1:2">
      <c r="A42">
        <v>33</v>
      </c>
      <c r="B42" t="s">
        <v>2083</v>
      </c>
    </row>
    <row r="43" spans="1:2">
      <c r="A43">
        <v>34</v>
      </c>
      <c r="B43" t="s">
        <v>2083</v>
      </c>
    </row>
    <row r="44" spans="1:2">
      <c r="A44">
        <v>35</v>
      </c>
      <c r="B44" t="s">
        <v>2083</v>
      </c>
    </row>
    <row r="45" spans="1:2">
      <c r="A45">
        <v>36</v>
      </c>
      <c r="B45" t="s">
        <v>2083</v>
      </c>
    </row>
    <row r="46" spans="1:2">
      <c r="A46">
        <v>37</v>
      </c>
      <c r="B46" t="s">
        <v>2083</v>
      </c>
    </row>
    <row r="47" spans="1:2">
      <c r="A47">
        <v>38</v>
      </c>
      <c r="B47" t="s">
        <v>2083</v>
      </c>
    </row>
    <row r="48" spans="1:2">
      <c r="A48">
        <v>39</v>
      </c>
      <c r="B48" t="s">
        <v>2083</v>
      </c>
    </row>
    <row r="49" spans="1:2">
      <c r="A49">
        <v>40</v>
      </c>
      <c r="B49" t="s">
        <v>2083</v>
      </c>
    </row>
    <row r="50" spans="1:2">
      <c r="A50">
        <v>41</v>
      </c>
      <c r="B50" t="s">
        <v>2083</v>
      </c>
    </row>
    <row r="51" spans="1:2">
      <c r="A51">
        <v>42</v>
      </c>
      <c r="B51" t="s">
        <v>2083</v>
      </c>
    </row>
    <row r="52" spans="1:2">
      <c r="A52">
        <v>43</v>
      </c>
      <c r="B52" t="s">
        <v>2083</v>
      </c>
    </row>
    <row r="53" spans="1:2">
      <c r="A53">
        <v>44</v>
      </c>
      <c r="B53" t="s">
        <v>2083</v>
      </c>
    </row>
    <row r="54" spans="1:2">
      <c r="A54">
        <v>45</v>
      </c>
      <c r="B54" t="s">
        <v>2083</v>
      </c>
    </row>
    <row r="55" spans="1:2">
      <c r="A55">
        <v>46</v>
      </c>
      <c r="B55" t="s">
        <v>2083</v>
      </c>
    </row>
    <row r="56" spans="1:2">
      <c r="A56">
        <v>47</v>
      </c>
      <c r="B56" t="s">
        <v>2083</v>
      </c>
    </row>
    <row r="57" spans="1:2">
      <c r="A57">
        <v>48</v>
      </c>
      <c r="B57" t="s">
        <v>2083</v>
      </c>
    </row>
    <row r="58" spans="1:2">
      <c r="A58">
        <v>49</v>
      </c>
      <c r="B58" t="s">
        <v>2083</v>
      </c>
    </row>
    <row r="59" spans="1:2">
      <c r="A59">
        <v>50</v>
      </c>
      <c r="B59" t="s">
        <v>2083</v>
      </c>
    </row>
    <row r="60" spans="1:2">
      <c r="A60">
        <v>51</v>
      </c>
      <c r="B60" t="s">
        <v>2083</v>
      </c>
    </row>
    <row r="61" spans="1:2">
      <c r="A61">
        <v>52</v>
      </c>
      <c r="B61" t="s">
        <v>2083</v>
      </c>
    </row>
    <row r="62" spans="1:2">
      <c r="A62">
        <v>53</v>
      </c>
      <c r="B62" t="s">
        <v>2083</v>
      </c>
    </row>
    <row r="63" spans="1:2">
      <c r="A63">
        <v>54</v>
      </c>
      <c r="B63" t="s">
        <v>2083</v>
      </c>
    </row>
    <row r="64" spans="1:2">
      <c r="A64">
        <v>55</v>
      </c>
      <c r="B64" t="s">
        <v>2083</v>
      </c>
    </row>
    <row r="65" spans="1:2">
      <c r="A65">
        <v>56</v>
      </c>
      <c r="B65" t="s">
        <v>2083</v>
      </c>
    </row>
    <row r="66" spans="1:2">
      <c r="A66">
        <v>57</v>
      </c>
      <c r="B66" t="s">
        <v>2083</v>
      </c>
    </row>
    <row r="67" spans="1:2">
      <c r="A67">
        <v>58</v>
      </c>
      <c r="B67" t="s">
        <v>2083</v>
      </c>
    </row>
    <row r="68" spans="1:2">
      <c r="A68">
        <v>59</v>
      </c>
      <c r="B68" t="s">
        <v>2083</v>
      </c>
    </row>
    <row r="69" spans="1:2">
      <c r="A69">
        <v>60</v>
      </c>
      <c r="B69" t="s">
        <v>2083</v>
      </c>
    </row>
    <row r="70" spans="1:2">
      <c r="A70">
        <v>61</v>
      </c>
      <c r="B70" t="s">
        <v>2083</v>
      </c>
    </row>
    <row r="71" spans="1:2">
      <c r="A71">
        <v>62</v>
      </c>
      <c r="B71" t="s">
        <v>2083</v>
      </c>
    </row>
    <row r="72" spans="1:2">
      <c r="A72">
        <v>63</v>
      </c>
      <c r="B72" t="s">
        <v>2083</v>
      </c>
    </row>
    <row r="73" spans="1:2">
      <c r="A73">
        <v>64</v>
      </c>
      <c r="B73" t="s">
        <v>2083</v>
      </c>
    </row>
    <row r="74" spans="1:2">
      <c r="A74">
        <v>65</v>
      </c>
      <c r="B74" t="s">
        <v>2083</v>
      </c>
    </row>
    <row r="75" spans="1:2">
      <c r="A75">
        <v>66</v>
      </c>
      <c r="B75" t="s">
        <v>2083</v>
      </c>
    </row>
    <row r="76" spans="1:2">
      <c r="A76">
        <v>67</v>
      </c>
      <c r="B76" t="s">
        <v>2083</v>
      </c>
    </row>
    <row r="77" spans="1:2">
      <c r="A77">
        <v>68</v>
      </c>
      <c r="B77" t="s">
        <v>2083</v>
      </c>
    </row>
    <row r="78" spans="1:2">
      <c r="A78">
        <v>69</v>
      </c>
      <c r="B78" t="s">
        <v>2083</v>
      </c>
    </row>
    <row r="79" spans="1:2">
      <c r="A79">
        <v>70</v>
      </c>
      <c r="B79" t="s">
        <v>2083</v>
      </c>
    </row>
    <row r="80" spans="1:2">
      <c r="A80">
        <v>71</v>
      </c>
      <c r="B80" t="s">
        <v>2083</v>
      </c>
    </row>
    <row r="81" spans="1:2">
      <c r="A81">
        <v>72</v>
      </c>
      <c r="B81" t="s">
        <v>2083</v>
      </c>
    </row>
    <row r="82" spans="1:2">
      <c r="A82">
        <v>73</v>
      </c>
      <c r="B82" t="s">
        <v>2083</v>
      </c>
    </row>
    <row r="83" spans="1:2">
      <c r="A83">
        <v>74</v>
      </c>
      <c r="B83" t="s">
        <v>2083</v>
      </c>
    </row>
    <row r="84" spans="1:2">
      <c r="A84">
        <v>75</v>
      </c>
      <c r="B84" t="s">
        <v>2083</v>
      </c>
    </row>
    <row r="85" spans="1:2">
      <c r="A85">
        <v>76</v>
      </c>
      <c r="B85" t="s">
        <v>2083</v>
      </c>
    </row>
    <row r="86" spans="1:2">
      <c r="A86">
        <v>77</v>
      </c>
      <c r="B86" t="s">
        <v>2083</v>
      </c>
    </row>
    <row r="87" spans="1:2">
      <c r="A87">
        <v>78</v>
      </c>
      <c r="B87" t="s">
        <v>2083</v>
      </c>
    </row>
    <row r="88" spans="1:2">
      <c r="A88">
        <v>79</v>
      </c>
      <c r="B88" t="s">
        <v>2083</v>
      </c>
    </row>
    <row r="89" spans="1:2">
      <c r="A89">
        <v>80</v>
      </c>
      <c r="B89" t="s">
        <v>2083</v>
      </c>
    </row>
    <row r="90" spans="1:2">
      <c r="A90">
        <v>81</v>
      </c>
      <c r="B90" t="s">
        <v>2083</v>
      </c>
    </row>
    <row r="91" spans="1:2">
      <c r="A91">
        <v>82</v>
      </c>
      <c r="B91" t="s">
        <v>2083</v>
      </c>
    </row>
    <row r="92" spans="1:2">
      <c r="A92">
        <v>83</v>
      </c>
      <c r="B92" t="s">
        <v>2083</v>
      </c>
    </row>
    <row r="93" spans="1:2">
      <c r="A93">
        <v>84</v>
      </c>
      <c r="B93" t="s">
        <v>2083</v>
      </c>
    </row>
    <row r="94" spans="1:2">
      <c r="A94">
        <v>85</v>
      </c>
      <c r="B94" t="s">
        <v>2083</v>
      </c>
    </row>
    <row r="95" spans="1:2">
      <c r="A95">
        <v>86</v>
      </c>
      <c r="B95" t="s">
        <v>2083</v>
      </c>
    </row>
    <row r="96" spans="1:2">
      <c r="A96">
        <v>87</v>
      </c>
      <c r="B96" t="s">
        <v>2083</v>
      </c>
    </row>
    <row r="97" spans="1:2">
      <c r="A97">
        <v>88</v>
      </c>
      <c r="B97" t="s">
        <v>2083</v>
      </c>
    </row>
    <row r="98" spans="1:2">
      <c r="A98">
        <v>89</v>
      </c>
      <c r="B98" t="s">
        <v>2083</v>
      </c>
    </row>
    <row r="99" spans="1:2">
      <c r="A99">
        <v>90</v>
      </c>
      <c r="B99" t="s">
        <v>2083</v>
      </c>
    </row>
    <row r="100" spans="1:2">
      <c r="A100">
        <v>91</v>
      </c>
      <c r="B100" t="s">
        <v>2083</v>
      </c>
    </row>
    <row r="101" spans="1:2">
      <c r="A101">
        <v>92</v>
      </c>
      <c r="B101" t="s">
        <v>2083</v>
      </c>
    </row>
    <row r="102" spans="1:2">
      <c r="A102">
        <v>93</v>
      </c>
      <c r="B102" t="s">
        <v>2083</v>
      </c>
    </row>
    <row r="103" spans="1:2">
      <c r="A103">
        <v>94</v>
      </c>
      <c r="B103" t="s">
        <v>2083</v>
      </c>
    </row>
    <row r="104" spans="1:2">
      <c r="A104">
        <v>95</v>
      </c>
      <c r="B104" t="s">
        <v>2083</v>
      </c>
    </row>
    <row r="105" spans="1:2">
      <c r="A105">
        <v>96</v>
      </c>
      <c r="B105" t="s">
        <v>2083</v>
      </c>
    </row>
    <row r="106" spans="1:2">
      <c r="A106">
        <v>97</v>
      </c>
      <c r="B106" t="s">
        <v>2083</v>
      </c>
    </row>
    <row r="107" spans="1:2">
      <c r="A107">
        <v>98</v>
      </c>
      <c r="B107" t="s">
        <v>2083</v>
      </c>
    </row>
    <row r="108" spans="1:2">
      <c r="A108">
        <v>99</v>
      </c>
      <c r="B108" t="s">
        <v>2083</v>
      </c>
    </row>
    <row r="109" spans="1:2">
      <c r="A109">
        <v>100</v>
      </c>
      <c r="B109" t="s">
        <v>2083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101"/>
  <sheetViews>
    <sheetView workbookViewId="0">
      <selection activeCell="B2" sqref="B2"/>
    </sheetView>
  </sheetViews>
  <sheetFormatPr defaultColWidth="9" defaultRowHeight="14.4"/>
  <cols>
    <col min="1" max="1" width="16.6640625" style="5" customWidth="1"/>
    <col min="2" max="2" width="23" style="13" customWidth="1"/>
    <col min="3" max="3" width="12.44140625" customWidth="1"/>
    <col min="4" max="4" width="14.44140625" customWidth="1"/>
    <col min="6" max="6" width="9.33203125" customWidth="1"/>
  </cols>
  <sheetData>
    <row r="1" spans="1:4">
      <c r="A1" s="11" t="s">
        <v>2087</v>
      </c>
      <c r="B1" s="14" t="s">
        <v>2084</v>
      </c>
      <c r="C1" s="1" t="s">
        <v>2073</v>
      </c>
      <c r="D1" s="1" t="s">
        <v>2081</v>
      </c>
    </row>
    <row r="2" spans="1:4">
      <c r="A2" s="5">
        <v>1</v>
      </c>
      <c r="B2" s="2">
        <v>22.715556309632799</v>
      </c>
      <c r="D2">
        <v>1</v>
      </c>
    </row>
    <row r="3" spans="1:4">
      <c r="A3" s="5">
        <v>2</v>
      </c>
      <c r="B3" s="13">
        <v>27.695241848031301</v>
      </c>
      <c r="D3">
        <v>2</v>
      </c>
    </row>
    <row r="4" spans="1:4">
      <c r="A4" s="5">
        <v>3</v>
      </c>
      <c r="B4" s="13">
        <v>14.4524011546834</v>
      </c>
      <c r="D4">
        <v>3</v>
      </c>
    </row>
    <row r="5" spans="1:4">
      <c r="A5" s="5">
        <v>4</v>
      </c>
      <c r="B5" s="13">
        <v>17.843777064527501</v>
      </c>
      <c r="D5">
        <v>4</v>
      </c>
    </row>
    <row r="6" spans="1:4">
      <c r="A6" s="5">
        <v>5</v>
      </c>
      <c r="B6" s="13">
        <v>7.9672910244928703</v>
      </c>
      <c r="D6">
        <v>5</v>
      </c>
    </row>
    <row r="7" spans="1:4">
      <c r="A7" s="5">
        <v>6</v>
      </c>
      <c r="B7" s="13">
        <v>33.982328136529802</v>
      </c>
      <c r="D7">
        <v>6</v>
      </c>
    </row>
    <row r="8" spans="1:4">
      <c r="A8" s="5">
        <v>7</v>
      </c>
      <c r="B8" s="13">
        <v>29.2119179962746</v>
      </c>
      <c r="D8">
        <v>7</v>
      </c>
    </row>
    <row r="9" spans="1:4">
      <c r="A9" s="5">
        <v>8</v>
      </c>
      <c r="B9" s="13">
        <v>31.238612817950099</v>
      </c>
      <c r="D9">
        <v>8</v>
      </c>
    </row>
    <row r="10" spans="1:4">
      <c r="A10" s="5">
        <v>9</v>
      </c>
      <c r="B10" s="2">
        <v>23.3710763274822</v>
      </c>
      <c r="D10">
        <v>9</v>
      </c>
    </row>
    <row r="11" spans="1:4">
      <c r="A11" s="5">
        <v>10</v>
      </c>
      <c r="B11" s="13">
        <v>18.112189399962901</v>
      </c>
      <c r="D11">
        <v>10</v>
      </c>
    </row>
    <row r="12" spans="1:4">
      <c r="A12" s="5">
        <v>11</v>
      </c>
      <c r="B12" s="13">
        <v>11.5189992503214</v>
      </c>
      <c r="D12">
        <v>11</v>
      </c>
    </row>
    <row r="13" spans="1:4">
      <c r="A13" s="5">
        <v>12</v>
      </c>
      <c r="B13" s="13">
        <v>39.778389948941303</v>
      </c>
      <c r="D13">
        <v>12</v>
      </c>
    </row>
    <row r="14" spans="1:4">
      <c r="A14" s="5">
        <v>13</v>
      </c>
      <c r="B14" s="13">
        <v>29.162379739664999</v>
      </c>
      <c r="D14">
        <v>13</v>
      </c>
    </row>
    <row r="15" spans="1:4">
      <c r="A15" s="5">
        <v>14</v>
      </c>
      <c r="B15" s="2">
        <v>20.748233306808199</v>
      </c>
      <c r="D15">
        <v>14</v>
      </c>
    </row>
    <row r="16" spans="1:4">
      <c r="A16" s="5">
        <v>15</v>
      </c>
      <c r="B16" s="2">
        <v>33.478473410493699</v>
      </c>
      <c r="D16">
        <v>15</v>
      </c>
    </row>
    <row r="17" spans="1:4">
      <c r="A17" s="5">
        <v>16</v>
      </c>
      <c r="B17" s="2">
        <v>25.710575886509101</v>
      </c>
      <c r="D17">
        <v>16</v>
      </c>
    </row>
    <row r="18" spans="1:4">
      <c r="A18" s="5">
        <v>17</v>
      </c>
      <c r="B18" s="2">
        <v>25.425750115519399</v>
      </c>
      <c r="D18">
        <v>17</v>
      </c>
    </row>
    <row r="19" spans="1:4">
      <c r="A19" s="5">
        <v>18</v>
      </c>
      <c r="B19" s="2">
        <v>12.7645514426529</v>
      </c>
      <c r="D19">
        <v>18</v>
      </c>
    </row>
    <row r="20" spans="1:4">
      <c r="A20" s="5">
        <v>19</v>
      </c>
      <c r="B20" s="13">
        <v>17.6688478750584</v>
      </c>
      <c r="D20">
        <v>19</v>
      </c>
    </row>
    <row r="21" spans="1:4">
      <c r="A21" s="5">
        <v>20</v>
      </c>
      <c r="B21" s="13">
        <v>6.8836924691663697</v>
      </c>
      <c r="D21">
        <v>20</v>
      </c>
    </row>
    <row r="22" spans="1:4">
      <c r="A22" s="5">
        <v>21</v>
      </c>
      <c r="B22" s="13">
        <v>20.290109503548901</v>
      </c>
      <c r="D22">
        <v>21</v>
      </c>
    </row>
    <row r="23" spans="1:4">
      <c r="A23" s="5">
        <v>22</v>
      </c>
      <c r="B23" s="13">
        <v>25.588339014811002</v>
      </c>
      <c r="D23">
        <v>22</v>
      </c>
    </row>
    <row r="24" spans="1:4">
      <c r="A24" s="5">
        <v>23</v>
      </c>
      <c r="B24" s="13">
        <v>20.487405714951201</v>
      </c>
      <c r="D24">
        <v>23</v>
      </c>
    </row>
    <row r="25" spans="1:4">
      <c r="A25" s="5">
        <v>24</v>
      </c>
      <c r="B25" s="13">
        <v>29.6628780658795</v>
      </c>
      <c r="D25">
        <v>24</v>
      </c>
    </row>
    <row r="26" spans="1:4">
      <c r="A26" s="5">
        <v>25</v>
      </c>
      <c r="B26" s="13">
        <v>22.565250843570599</v>
      </c>
      <c r="D26">
        <v>25</v>
      </c>
    </row>
    <row r="27" spans="1:4">
      <c r="A27" s="5">
        <v>26</v>
      </c>
      <c r="B27" s="13">
        <v>37.992263780319</v>
      </c>
      <c r="D27">
        <v>26</v>
      </c>
    </row>
    <row r="28" spans="1:4">
      <c r="A28" s="5">
        <v>27</v>
      </c>
      <c r="B28" s="13">
        <v>24.211923118713401</v>
      </c>
      <c r="D28">
        <v>27</v>
      </c>
    </row>
    <row r="29" spans="1:4">
      <c r="A29" s="5">
        <v>28</v>
      </c>
      <c r="B29" s="13">
        <v>12.022827725741299</v>
      </c>
      <c r="D29">
        <v>28</v>
      </c>
    </row>
    <row r="30" spans="1:4">
      <c r="A30" s="5">
        <v>29</v>
      </c>
      <c r="B30" s="2">
        <v>37.149590142959298</v>
      </c>
      <c r="D30">
        <v>29</v>
      </c>
    </row>
    <row r="31" spans="1:4">
      <c r="A31" s="5">
        <v>30</v>
      </c>
      <c r="B31" s="2">
        <v>15.117886191283</v>
      </c>
      <c r="D31">
        <v>30</v>
      </c>
    </row>
    <row r="32" spans="1:4">
      <c r="A32" s="5">
        <v>31</v>
      </c>
      <c r="B32" s="2">
        <v>38.412446395751601</v>
      </c>
      <c r="D32">
        <v>31</v>
      </c>
    </row>
    <row r="33" spans="1:4">
      <c r="A33" s="5">
        <v>32</v>
      </c>
      <c r="B33" s="2">
        <v>33.011739394588901</v>
      </c>
      <c r="D33">
        <v>32</v>
      </c>
    </row>
    <row r="34" spans="1:4">
      <c r="A34" s="5">
        <v>33</v>
      </c>
      <c r="B34" s="13">
        <v>0</v>
      </c>
      <c r="D34">
        <v>33</v>
      </c>
    </row>
    <row r="35" spans="1:4">
      <c r="A35" s="5">
        <v>34</v>
      </c>
      <c r="B35" s="13">
        <v>39.700539180119698</v>
      </c>
      <c r="D35">
        <v>34</v>
      </c>
    </row>
    <row r="36" spans="1:4">
      <c r="A36" s="5">
        <v>35</v>
      </c>
      <c r="B36" s="13">
        <v>10.069465765734501</v>
      </c>
      <c r="D36">
        <v>35</v>
      </c>
    </row>
    <row r="37" spans="1:4">
      <c r="A37" s="5">
        <v>36</v>
      </c>
      <c r="B37" s="13">
        <v>0</v>
      </c>
      <c r="D37">
        <v>36</v>
      </c>
    </row>
    <row r="38" spans="1:4">
      <c r="A38" s="5">
        <v>37</v>
      </c>
      <c r="B38" s="13">
        <v>37.8211028911998</v>
      </c>
      <c r="D38">
        <v>37</v>
      </c>
    </row>
    <row r="39" spans="1:4">
      <c r="A39" s="5">
        <v>38</v>
      </c>
      <c r="B39" s="13">
        <v>6.5472903970777399</v>
      </c>
      <c r="D39">
        <v>38</v>
      </c>
    </row>
    <row r="40" spans="1:4">
      <c r="A40" s="5">
        <v>39</v>
      </c>
      <c r="B40" s="13">
        <v>23.594049153964601</v>
      </c>
      <c r="D40">
        <v>39</v>
      </c>
    </row>
    <row r="41" spans="1:4">
      <c r="A41" s="5">
        <v>40</v>
      </c>
      <c r="B41" s="13">
        <v>0</v>
      </c>
      <c r="D41">
        <v>40</v>
      </c>
    </row>
    <row r="42" spans="1:4">
      <c r="A42" s="5">
        <v>41</v>
      </c>
      <c r="B42" s="13">
        <v>12.922669461939901</v>
      </c>
      <c r="D42">
        <v>41</v>
      </c>
    </row>
    <row r="43" spans="1:4">
      <c r="A43" s="5">
        <v>42</v>
      </c>
      <c r="B43" s="13">
        <v>13.572645698973</v>
      </c>
      <c r="D43">
        <v>42</v>
      </c>
    </row>
    <row r="44" spans="1:4">
      <c r="A44" s="5">
        <v>43</v>
      </c>
      <c r="B44" s="13">
        <v>9.3424411800579907</v>
      </c>
      <c r="D44">
        <v>43</v>
      </c>
    </row>
    <row r="45" spans="1:4">
      <c r="A45" s="5">
        <v>44</v>
      </c>
      <c r="B45" s="13">
        <v>0</v>
      </c>
      <c r="D45">
        <v>44</v>
      </c>
    </row>
    <row r="46" spans="1:4">
      <c r="A46" s="5">
        <v>45</v>
      </c>
      <c r="B46" s="13">
        <v>37.114234430021497</v>
      </c>
      <c r="D46">
        <v>45</v>
      </c>
    </row>
    <row r="47" spans="1:4">
      <c r="A47" s="5">
        <v>46</v>
      </c>
      <c r="B47" s="13">
        <v>15.1809380149676</v>
      </c>
      <c r="D47">
        <v>46</v>
      </c>
    </row>
    <row r="48" spans="1:4">
      <c r="A48" s="5">
        <v>47</v>
      </c>
      <c r="B48" s="13">
        <v>27.528501889913699</v>
      </c>
      <c r="D48">
        <v>47</v>
      </c>
    </row>
    <row r="49" spans="1:4">
      <c r="A49" s="5">
        <v>48</v>
      </c>
      <c r="B49" s="13">
        <v>16.875125197347302</v>
      </c>
      <c r="D49">
        <v>48</v>
      </c>
    </row>
    <row r="50" spans="1:4">
      <c r="A50" s="5">
        <v>49</v>
      </c>
      <c r="B50" s="13">
        <v>8.4449688510042797</v>
      </c>
      <c r="D50">
        <v>49</v>
      </c>
    </row>
    <row r="51" spans="1:4">
      <c r="A51" s="5">
        <v>50</v>
      </c>
      <c r="B51" s="13">
        <v>14.902400457772901</v>
      </c>
      <c r="D51">
        <v>50</v>
      </c>
    </row>
    <row r="52" spans="1:4">
      <c r="A52" s="5">
        <v>51</v>
      </c>
      <c r="B52" s="13">
        <v>34.563638926137997</v>
      </c>
      <c r="D52">
        <v>51</v>
      </c>
    </row>
    <row r="53" spans="1:4">
      <c r="A53" s="5">
        <v>52</v>
      </c>
      <c r="B53" s="13">
        <v>22.997572654165602</v>
      </c>
      <c r="D53">
        <v>52</v>
      </c>
    </row>
    <row r="54" spans="1:4">
      <c r="A54" s="5">
        <v>53</v>
      </c>
      <c r="B54" s="13">
        <v>12.0201475959904</v>
      </c>
      <c r="D54">
        <v>53</v>
      </c>
    </row>
    <row r="55" spans="1:4">
      <c r="A55" s="5">
        <v>54</v>
      </c>
      <c r="B55" s="13">
        <v>24.5515040465006</v>
      </c>
      <c r="D55">
        <v>54</v>
      </c>
    </row>
    <row r="56" spans="1:4">
      <c r="A56" s="5">
        <v>55</v>
      </c>
      <c r="B56" s="13">
        <v>14.5272812474372</v>
      </c>
      <c r="D56">
        <v>55</v>
      </c>
    </row>
    <row r="57" spans="1:4">
      <c r="A57" s="5">
        <v>56</v>
      </c>
      <c r="B57" s="13">
        <v>26.566085816568101</v>
      </c>
      <c r="D57">
        <v>56</v>
      </c>
    </row>
    <row r="58" spans="1:4">
      <c r="A58" s="5">
        <v>57</v>
      </c>
      <c r="B58" s="13">
        <v>26.339320164184201</v>
      </c>
      <c r="D58">
        <v>57</v>
      </c>
    </row>
    <row r="59" spans="1:4">
      <c r="A59" s="5">
        <v>58</v>
      </c>
      <c r="B59" s="13">
        <v>24.331412854445201</v>
      </c>
      <c r="D59">
        <v>58</v>
      </c>
    </row>
    <row r="60" spans="1:4">
      <c r="A60" s="5">
        <v>59</v>
      </c>
      <c r="B60" s="13">
        <v>18.849956789942102</v>
      </c>
      <c r="D60">
        <v>59</v>
      </c>
    </row>
    <row r="61" spans="1:4">
      <c r="A61" s="5">
        <v>60</v>
      </c>
      <c r="B61" s="13">
        <v>31.906076082380402</v>
      </c>
      <c r="D61">
        <v>60</v>
      </c>
    </row>
    <row r="62" spans="1:4">
      <c r="A62" s="5">
        <v>61</v>
      </c>
      <c r="B62" s="13">
        <v>34.3874532728437</v>
      </c>
      <c r="D62">
        <v>61</v>
      </c>
    </row>
    <row r="63" spans="1:4">
      <c r="A63" s="5">
        <v>62</v>
      </c>
      <c r="B63" s="13">
        <v>37.576534512410802</v>
      </c>
      <c r="D63">
        <v>62</v>
      </c>
    </row>
    <row r="64" spans="1:4">
      <c r="A64" s="5">
        <v>63</v>
      </c>
      <c r="B64" s="13">
        <v>34.957995918694202</v>
      </c>
      <c r="D64">
        <v>63</v>
      </c>
    </row>
    <row r="65" spans="1:4">
      <c r="A65" s="5">
        <v>64</v>
      </c>
      <c r="B65" s="13">
        <v>8.9826182216081794</v>
      </c>
      <c r="D65">
        <v>64</v>
      </c>
    </row>
    <row r="66" spans="1:4">
      <c r="A66" s="5">
        <v>65</v>
      </c>
      <c r="B66" s="13">
        <v>39.119186548644699</v>
      </c>
      <c r="D66">
        <v>65</v>
      </c>
    </row>
    <row r="67" spans="1:4">
      <c r="A67" s="5">
        <v>66</v>
      </c>
      <c r="B67" s="13">
        <v>24.8865632424958</v>
      </c>
      <c r="D67">
        <v>66</v>
      </c>
    </row>
    <row r="68" spans="1:4">
      <c r="A68" s="5">
        <v>67</v>
      </c>
      <c r="B68" s="13">
        <v>36.746458500927503</v>
      </c>
      <c r="D68">
        <v>67</v>
      </c>
    </row>
    <row r="69" spans="1:4">
      <c r="A69" s="5">
        <v>68</v>
      </c>
      <c r="B69" s="13">
        <v>17.710440759499001</v>
      </c>
      <c r="D69">
        <v>68</v>
      </c>
    </row>
    <row r="70" spans="1:4">
      <c r="A70" s="5">
        <v>69</v>
      </c>
      <c r="B70" s="13">
        <v>18.292595052541198</v>
      </c>
      <c r="D70">
        <v>69</v>
      </c>
    </row>
    <row r="71" spans="1:4">
      <c r="A71" s="5">
        <v>70</v>
      </c>
      <c r="B71" s="13">
        <v>22.858097190761701</v>
      </c>
      <c r="D71">
        <v>70</v>
      </c>
    </row>
    <row r="72" spans="1:4">
      <c r="A72" s="5">
        <v>71</v>
      </c>
      <c r="B72" s="13">
        <v>25.3454811224208</v>
      </c>
      <c r="D72">
        <v>71</v>
      </c>
    </row>
    <row r="73" spans="1:4">
      <c r="A73" s="5">
        <v>72</v>
      </c>
      <c r="B73" s="13">
        <v>14.3334410852828</v>
      </c>
      <c r="D73">
        <v>72</v>
      </c>
    </row>
    <row r="74" spans="1:4">
      <c r="A74" s="5">
        <v>73</v>
      </c>
      <c r="B74" s="13">
        <v>12.8319883010382</v>
      </c>
      <c r="D74">
        <v>73</v>
      </c>
    </row>
    <row r="75" spans="1:4">
      <c r="A75" s="5">
        <v>74</v>
      </c>
      <c r="B75" s="13">
        <v>13.3397264793036</v>
      </c>
      <c r="D75">
        <v>74</v>
      </c>
    </row>
    <row r="76" spans="1:4">
      <c r="A76" s="5">
        <v>75</v>
      </c>
      <c r="B76" s="13">
        <v>15.4688747382187</v>
      </c>
      <c r="D76">
        <v>75</v>
      </c>
    </row>
    <row r="77" spans="1:4">
      <c r="A77" s="5">
        <v>76</v>
      </c>
      <c r="B77" s="13">
        <v>34.504684460162601</v>
      </c>
      <c r="D77">
        <v>76</v>
      </c>
    </row>
    <row r="78" spans="1:4">
      <c r="A78" s="5">
        <v>77</v>
      </c>
      <c r="B78" s="13">
        <v>6.1487598843192703</v>
      </c>
      <c r="D78">
        <v>77</v>
      </c>
    </row>
    <row r="79" spans="1:4">
      <c r="A79" s="5">
        <v>78</v>
      </c>
      <c r="B79" s="13">
        <v>12.8956983683928</v>
      </c>
      <c r="D79">
        <v>78</v>
      </c>
    </row>
    <row r="80" spans="1:4">
      <c r="A80" s="5">
        <v>79</v>
      </c>
      <c r="B80" s="13">
        <v>8.4489882591247092</v>
      </c>
      <c r="D80">
        <v>79</v>
      </c>
    </row>
    <row r="81" spans="1:4">
      <c r="A81" s="5">
        <v>80</v>
      </c>
      <c r="B81" s="2">
        <v>38.5196433508711</v>
      </c>
      <c r="D81">
        <v>80</v>
      </c>
    </row>
    <row r="82" spans="1:4">
      <c r="A82" s="5">
        <v>81</v>
      </c>
      <c r="B82" s="2">
        <v>40.900649765043397</v>
      </c>
      <c r="D82">
        <v>81</v>
      </c>
    </row>
    <row r="83" spans="1:4">
      <c r="A83" s="5">
        <v>82</v>
      </c>
      <c r="B83" s="2">
        <v>19.325038883452901</v>
      </c>
      <c r="D83">
        <v>82</v>
      </c>
    </row>
    <row r="84" spans="1:4">
      <c r="A84" s="5">
        <v>83</v>
      </c>
      <c r="B84" s="2">
        <v>39.801316349411401</v>
      </c>
      <c r="D84">
        <v>83</v>
      </c>
    </row>
    <row r="85" spans="1:4">
      <c r="A85" s="5">
        <v>84</v>
      </c>
      <c r="B85" s="2">
        <v>18.7628134677487</v>
      </c>
      <c r="D85">
        <v>84</v>
      </c>
    </row>
    <row r="86" spans="1:4">
      <c r="A86" s="5">
        <v>85</v>
      </c>
      <c r="B86" s="2">
        <v>19.999612732632301</v>
      </c>
      <c r="D86">
        <v>85</v>
      </c>
    </row>
    <row r="87" spans="1:4">
      <c r="A87" s="5">
        <v>86</v>
      </c>
      <c r="B87" s="2">
        <v>14.32518634631</v>
      </c>
      <c r="D87">
        <v>86</v>
      </c>
    </row>
    <row r="88" spans="1:4">
      <c r="A88" s="5">
        <v>87</v>
      </c>
      <c r="B88" s="2">
        <v>30.173954687976899</v>
      </c>
      <c r="D88">
        <v>87</v>
      </c>
    </row>
    <row r="89" spans="1:4">
      <c r="A89" s="5">
        <v>88</v>
      </c>
      <c r="B89" s="2">
        <v>26.3184966692179</v>
      </c>
      <c r="D89">
        <v>88</v>
      </c>
    </row>
    <row r="90" spans="1:4">
      <c r="A90" s="5">
        <v>89</v>
      </c>
      <c r="B90" s="2">
        <v>32.581890359685303</v>
      </c>
      <c r="D90">
        <v>89</v>
      </c>
    </row>
    <row r="91" spans="1:4">
      <c r="A91" s="5">
        <v>90</v>
      </c>
      <c r="B91" s="2">
        <v>16.9211494574987</v>
      </c>
      <c r="D91">
        <v>90</v>
      </c>
    </row>
    <row r="92" spans="1:4">
      <c r="A92" s="5">
        <v>91</v>
      </c>
      <c r="B92" s="2">
        <v>15.612491185368301</v>
      </c>
      <c r="D92">
        <v>91</v>
      </c>
    </row>
    <row r="93" spans="1:4">
      <c r="A93" s="5">
        <v>92</v>
      </c>
      <c r="B93" s="2">
        <v>29.722309881231201</v>
      </c>
      <c r="D93">
        <v>92</v>
      </c>
    </row>
    <row r="94" spans="1:4">
      <c r="A94" s="5">
        <v>93</v>
      </c>
      <c r="B94" s="2">
        <v>24.050752844939701</v>
      </c>
      <c r="D94">
        <v>93</v>
      </c>
    </row>
    <row r="95" spans="1:4">
      <c r="A95" s="5">
        <v>94</v>
      </c>
      <c r="B95" s="2">
        <v>32.641110582324899</v>
      </c>
      <c r="D95">
        <v>94</v>
      </c>
    </row>
    <row r="96" spans="1:4">
      <c r="A96" s="5">
        <v>95</v>
      </c>
      <c r="B96" s="2">
        <v>39.960887743832899</v>
      </c>
      <c r="D96">
        <v>95</v>
      </c>
    </row>
    <row r="97" spans="1:4">
      <c r="A97" s="5">
        <v>96</v>
      </c>
      <c r="B97" s="13">
        <v>22.4724399398599</v>
      </c>
      <c r="D97">
        <v>96</v>
      </c>
    </row>
    <row r="98" spans="1:4">
      <c r="A98" s="5">
        <v>97</v>
      </c>
      <c r="B98" s="13">
        <v>20.1682668337689</v>
      </c>
      <c r="D98">
        <v>97</v>
      </c>
    </row>
    <row r="99" spans="1:4">
      <c r="A99" s="5">
        <v>98</v>
      </c>
      <c r="B99" s="13">
        <v>17.750637932387399</v>
      </c>
      <c r="D99">
        <v>98</v>
      </c>
    </row>
    <row r="100" spans="1:4">
      <c r="A100" s="5">
        <v>99</v>
      </c>
      <c r="B100" s="13">
        <v>38.694780800704599</v>
      </c>
      <c r="D100">
        <v>99</v>
      </c>
    </row>
    <row r="101" spans="1:4">
      <c r="A101" s="5">
        <v>100</v>
      </c>
      <c r="B101" s="13">
        <v>33.309868054407303</v>
      </c>
      <c r="D101">
        <v>100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111"/>
  <sheetViews>
    <sheetView workbookViewId="0"/>
  </sheetViews>
  <sheetFormatPr defaultColWidth="9" defaultRowHeight="14.4"/>
  <cols>
    <col min="1" max="1" width="17" customWidth="1"/>
    <col min="4" max="4" width="14" customWidth="1"/>
    <col min="5" max="5" width="16" customWidth="1"/>
  </cols>
  <sheetData>
    <row r="1" spans="1:5">
      <c r="A1" s="3" t="s">
        <v>2094</v>
      </c>
      <c r="B1" s="3" t="s">
        <v>2095</v>
      </c>
      <c r="C1" s="3" t="s">
        <v>46</v>
      </c>
      <c r="D1" s="3" t="s">
        <v>47</v>
      </c>
      <c r="E1" s="3" t="s">
        <v>48</v>
      </c>
    </row>
    <row r="2" spans="1:5">
      <c r="A2" s="4">
        <v>1</v>
      </c>
      <c r="B2" s="4" t="s">
        <v>2096</v>
      </c>
      <c r="C2" s="4" t="b">
        <v>1</v>
      </c>
      <c r="D2" s="4" t="s">
        <v>2097</v>
      </c>
      <c r="E2" s="4" t="s">
        <v>2098</v>
      </c>
    </row>
    <row r="3" spans="1:5">
      <c r="A3" s="4">
        <v>2</v>
      </c>
      <c r="B3" s="4" t="s">
        <v>2096</v>
      </c>
      <c r="C3" s="4" t="b">
        <v>1</v>
      </c>
      <c r="D3" s="4" t="s">
        <v>849</v>
      </c>
      <c r="E3" s="4" t="s">
        <v>2099</v>
      </c>
    </row>
    <row r="4" spans="1:5">
      <c r="A4" s="4">
        <v>3</v>
      </c>
      <c r="B4" s="4" t="s">
        <v>2096</v>
      </c>
      <c r="C4" s="4" t="b">
        <v>1</v>
      </c>
      <c r="D4" s="4" t="s">
        <v>2100</v>
      </c>
      <c r="E4" s="4" t="s">
        <v>2101</v>
      </c>
    </row>
    <row r="5" spans="1:5">
      <c r="A5" s="4">
        <v>4</v>
      </c>
      <c r="B5" s="4" t="s">
        <v>2096</v>
      </c>
      <c r="C5" s="4" t="b">
        <v>1</v>
      </c>
      <c r="D5" s="4" t="s">
        <v>847</v>
      </c>
      <c r="E5" s="4" t="s">
        <v>2102</v>
      </c>
    </row>
    <row r="6" spans="1:5">
      <c r="A6" s="4">
        <v>5</v>
      </c>
      <c r="B6" s="4" t="s">
        <v>2096</v>
      </c>
      <c r="C6" s="4" t="b">
        <v>1</v>
      </c>
      <c r="D6" s="4" t="s">
        <v>2103</v>
      </c>
      <c r="E6" s="4" t="s">
        <v>1427</v>
      </c>
    </row>
    <row r="7" spans="1:5">
      <c r="A7" s="4">
        <v>6</v>
      </c>
      <c r="B7" s="4" t="s">
        <v>2096</v>
      </c>
      <c r="C7" s="4" t="b">
        <v>1</v>
      </c>
      <c r="D7" s="4" t="s">
        <v>1632</v>
      </c>
      <c r="E7" s="4" t="s">
        <v>2104</v>
      </c>
    </row>
    <row r="8" spans="1:5">
      <c r="A8" s="4">
        <v>7</v>
      </c>
      <c r="B8" s="4" t="s">
        <v>2096</v>
      </c>
      <c r="C8" s="4" t="b">
        <v>1</v>
      </c>
      <c r="D8" s="4" t="s">
        <v>2105</v>
      </c>
      <c r="E8" s="4" t="s">
        <v>2106</v>
      </c>
    </row>
    <row r="9" spans="1:5">
      <c r="A9" s="4">
        <v>8</v>
      </c>
      <c r="B9" s="4" t="s">
        <v>2096</v>
      </c>
      <c r="C9" s="4" t="b">
        <v>1</v>
      </c>
      <c r="D9" s="4" t="s">
        <v>1246</v>
      </c>
      <c r="E9" s="4" t="s">
        <v>2107</v>
      </c>
    </row>
    <row r="10" spans="1:5">
      <c r="A10" s="4">
        <v>9</v>
      </c>
      <c r="B10" s="4" t="s">
        <v>2096</v>
      </c>
      <c r="C10" s="4" t="b">
        <v>1</v>
      </c>
      <c r="D10" s="4" t="s">
        <v>2108</v>
      </c>
      <c r="E10" s="4" t="s">
        <v>2109</v>
      </c>
    </row>
    <row r="11" spans="1:5">
      <c r="A11" s="4">
        <v>10</v>
      </c>
      <c r="B11" s="4" t="s">
        <v>2096</v>
      </c>
      <c r="C11" s="4" t="b">
        <v>1</v>
      </c>
      <c r="D11" s="4" t="s">
        <v>2110</v>
      </c>
      <c r="E11" s="4" t="s">
        <v>2098</v>
      </c>
    </row>
    <row r="12" spans="1:5">
      <c r="A12" s="4">
        <v>11</v>
      </c>
      <c r="B12" s="4" t="s">
        <v>2096</v>
      </c>
      <c r="C12" s="4" t="b">
        <v>1</v>
      </c>
      <c r="D12" s="4" t="s">
        <v>2111</v>
      </c>
      <c r="E12" s="4" t="s">
        <v>2112</v>
      </c>
    </row>
    <row r="13" spans="1:5">
      <c r="A13" s="4">
        <v>12</v>
      </c>
      <c r="B13" s="4" t="s">
        <v>2096</v>
      </c>
      <c r="C13" s="4" t="b">
        <v>1</v>
      </c>
      <c r="D13" s="4" t="s">
        <v>2113</v>
      </c>
      <c r="E13" s="4" t="s">
        <v>1065</v>
      </c>
    </row>
    <row r="14" spans="1:5">
      <c r="A14" s="4">
        <v>13</v>
      </c>
      <c r="B14" s="4" t="s">
        <v>2096</v>
      </c>
      <c r="C14" s="4" t="b">
        <v>1</v>
      </c>
      <c r="D14" s="4" t="s">
        <v>1318</v>
      </c>
      <c r="E14" s="4" t="s">
        <v>1229</v>
      </c>
    </row>
    <row r="15" spans="1:5">
      <c r="A15" s="4">
        <v>14</v>
      </c>
      <c r="B15" s="4" t="s">
        <v>2096</v>
      </c>
      <c r="C15" s="4" t="b">
        <v>1</v>
      </c>
      <c r="D15" s="4" t="s">
        <v>2114</v>
      </c>
      <c r="E15" s="4" t="s">
        <v>2115</v>
      </c>
    </row>
    <row r="16" spans="1:5">
      <c r="A16">
        <v>15</v>
      </c>
      <c r="B16" t="s">
        <v>2096</v>
      </c>
      <c r="C16" t="b">
        <v>1</v>
      </c>
      <c r="D16" t="s">
        <v>2116</v>
      </c>
      <c r="E16" t="s">
        <v>2117</v>
      </c>
    </row>
    <row r="17" spans="1:5">
      <c r="A17">
        <v>16</v>
      </c>
      <c r="B17" t="s">
        <v>2096</v>
      </c>
      <c r="C17" t="b">
        <v>1</v>
      </c>
      <c r="D17" t="s">
        <v>754</v>
      </c>
      <c r="E17" t="s">
        <v>2118</v>
      </c>
    </row>
    <row r="18" spans="1:5">
      <c r="A18">
        <v>17</v>
      </c>
      <c r="B18" t="s">
        <v>2096</v>
      </c>
      <c r="C18" t="b">
        <v>1</v>
      </c>
      <c r="D18" t="s">
        <v>752</v>
      </c>
      <c r="E18" t="s">
        <v>2119</v>
      </c>
    </row>
    <row r="19" spans="1:5">
      <c r="A19">
        <v>18</v>
      </c>
      <c r="B19" t="s">
        <v>2096</v>
      </c>
      <c r="C19" t="b">
        <v>1</v>
      </c>
      <c r="D19" t="s">
        <v>94</v>
      </c>
      <c r="E19" t="s">
        <v>993</v>
      </c>
    </row>
    <row r="20" spans="1:5">
      <c r="A20">
        <v>19</v>
      </c>
      <c r="B20" t="s">
        <v>2096</v>
      </c>
      <c r="C20" t="b">
        <v>1</v>
      </c>
      <c r="D20" t="s">
        <v>638</v>
      </c>
      <c r="E20" t="s">
        <v>2120</v>
      </c>
    </row>
    <row r="21" spans="1:5">
      <c r="A21">
        <v>20</v>
      </c>
      <c r="B21" t="s">
        <v>2096</v>
      </c>
      <c r="C21" t="b">
        <v>1</v>
      </c>
      <c r="D21" t="s">
        <v>2121</v>
      </c>
      <c r="E21" t="s">
        <v>2122</v>
      </c>
    </row>
    <row r="22" spans="1:5">
      <c r="A22">
        <v>21</v>
      </c>
      <c r="B22" t="s">
        <v>2096</v>
      </c>
      <c r="C22" t="b">
        <v>1</v>
      </c>
      <c r="D22" t="s">
        <v>2123</v>
      </c>
      <c r="E22" t="s">
        <v>2124</v>
      </c>
    </row>
    <row r="23" spans="1:5">
      <c r="A23">
        <v>22</v>
      </c>
      <c r="B23" t="s">
        <v>2096</v>
      </c>
      <c r="C23" t="b">
        <v>1</v>
      </c>
      <c r="D23" t="s">
        <v>1625</v>
      </c>
      <c r="E23" t="s">
        <v>827</v>
      </c>
    </row>
    <row r="24" spans="1:5">
      <c r="A24">
        <v>23</v>
      </c>
      <c r="B24" t="s">
        <v>2096</v>
      </c>
      <c r="C24" t="b">
        <v>1</v>
      </c>
      <c r="D24" t="s">
        <v>2125</v>
      </c>
      <c r="E24" t="s">
        <v>1373</v>
      </c>
    </row>
    <row r="25" spans="1:5">
      <c r="A25">
        <v>24</v>
      </c>
      <c r="B25" t="s">
        <v>2096</v>
      </c>
      <c r="C25" t="b">
        <v>1</v>
      </c>
      <c r="D25" t="s">
        <v>2126</v>
      </c>
      <c r="E25" t="s">
        <v>2127</v>
      </c>
    </row>
    <row r="26" spans="1:5">
      <c r="A26">
        <v>25</v>
      </c>
      <c r="B26" t="s">
        <v>2096</v>
      </c>
      <c r="C26" t="b">
        <v>1</v>
      </c>
      <c r="D26" t="s">
        <v>803</v>
      </c>
      <c r="E26" t="s">
        <v>713</v>
      </c>
    </row>
    <row r="27" spans="1:5">
      <c r="A27">
        <v>26</v>
      </c>
      <c r="B27" t="s">
        <v>2096</v>
      </c>
      <c r="C27" t="b">
        <v>1</v>
      </c>
      <c r="D27" t="s">
        <v>2128</v>
      </c>
      <c r="E27" t="s">
        <v>2129</v>
      </c>
    </row>
    <row r="28" spans="1:5">
      <c r="A28">
        <v>27</v>
      </c>
      <c r="B28" t="s">
        <v>2096</v>
      </c>
      <c r="C28" t="b">
        <v>1</v>
      </c>
      <c r="D28" t="s">
        <v>2130</v>
      </c>
      <c r="E28" t="s">
        <v>2131</v>
      </c>
    </row>
    <row r="29" spans="1:5">
      <c r="A29">
        <v>28</v>
      </c>
      <c r="B29" t="s">
        <v>2096</v>
      </c>
      <c r="C29" t="b">
        <v>1</v>
      </c>
      <c r="D29" t="s">
        <v>1437</v>
      </c>
      <c r="E29" t="s">
        <v>2132</v>
      </c>
    </row>
    <row r="30" spans="1:5">
      <c r="A30">
        <v>29</v>
      </c>
      <c r="B30" t="s">
        <v>2096</v>
      </c>
      <c r="C30" t="b">
        <v>1</v>
      </c>
      <c r="D30" t="s">
        <v>91</v>
      </c>
      <c r="E30" t="s">
        <v>2133</v>
      </c>
    </row>
    <row r="31" spans="1:5">
      <c r="A31">
        <v>30</v>
      </c>
      <c r="B31" t="s">
        <v>2096</v>
      </c>
      <c r="C31" t="b">
        <v>1</v>
      </c>
      <c r="D31" t="s">
        <v>690</v>
      </c>
      <c r="E31" t="s">
        <v>2134</v>
      </c>
    </row>
    <row r="32" spans="1:5">
      <c r="A32">
        <v>31</v>
      </c>
      <c r="B32" t="s">
        <v>2096</v>
      </c>
      <c r="C32" t="b">
        <v>1</v>
      </c>
      <c r="D32" t="s">
        <v>2135</v>
      </c>
      <c r="E32" t="s">
        <v>2136</v>
      </c>
    </row>
    <row r="33" spans="1:5">
      <c r="A33">
        <v>32</v>
      </c>
      <c r="B33" t="s">
        <v>2096</v>
      </c>
      <c r="C33" t="b">
        <v>1</v>
      </c>
      <c r="D33" t="s">
        <v>2137</v>
      </c>
      <c r="E33" t="s">
        <v>2138</v>
      </c>
    </row>
    <row r="34" spans="1:5">
      <c r="A34">
        <v>33</v>
      </c>
      <c r="B34" t="s">
        <v>2096</v>
      </c>
      <c r="C34" t="b">
        <v>1</v>
      </c>
      <c r="D34" t="s">
        <v>2139</v>
      </c>
      <c r="E34" t="s">
        <v>2140</v>
      </c>
    </row>
    <row r="35" spans="1:5">
      <c r="A35">
        <v>34</v>
      </c>
      <c r="B35" t="s">
        <v>2096</v>
      </c>
      <c r="C35" t="b">
        <v>1</v>
      </c>
      <c r="D35" t="s">
        <v>2141</v>
      </c>
      <c r="E35" t="s">
        <v>2142</v>
      </c>
    </row>
    <row r="36" spans="1:5">
      <c r="A36">
        <v>35</v>
      </c>
      <c r="B36" t="s">
        <v>2096</v>
      </c>
      <c r="C36" t="b">
        <v>1</v>
      </c>
      <c r="D36" t="s">
        <v>620</v>
      </c>
      <c r="E36" t="s">
        <v>2143</v>
      </c>
    </row>
    <row r="37" spans="1:5">
      <c r="A37">
        <v>36</v>
      </c>
      <c r="B37" t="s">
        <v>2096</v>
      </c>
      <c r="C37" t="b">
        <v>1</v>
      </c>
      <c r="D37" t="s">
        <v>2144</v>
      </c>
      <c r="E37" t="s">
        <v>1545</v>
      </c>
    </row>
    <row r="38" spans="1:5">
      <c r="A38">
        <v>37</v>
      </c>
      <c r="B38" t="s">
        <v>2096</v>
      </c>
      <c r="C38" t="b">
        <v>1</v>
      </c>
      <c r="D38" t="s">
        <v>1170</v>
      </c>
      <c r="E38" t="s">
        <v>2145</v>
      </c>
    </row>
    <row r="39" spans="1:5">
      <c r="A39">
        <v>38</v>
      </c>
      <c r="B39" t="s">
        <v>2096</v>
      </c>
      <c r="C39" t="b">
        <v>1</v>
      </c>
      <c r="D39" t="s">
        <v>1207</v>
      </c>
      <c r="E39" t="s">
        <v>2146</v>
      </c>
    </row>
    <row r="40" spans="1:5">
      <c r="A40">
        <v>39</v>
      </c>
      <c r="B40" t="s">
        <v>2096</v>
      </c>
      <c r="C40" t="b">
        <v>1</v>
      </c>
      <c r="D40" t="s">
        <v>2147</v>
      </c>
      <c r="E40" t="s">
        <v>2148</v>
      </c>
    </row>
    <row r="41" spans="1:5">
      <c r="A41">
        <v>40</v>
      </c>
      <c r="B41" t="s">
        <v>2096</v>
      </c>
      <c r="C41" t="b">
        <v>1</v>
      </c>
      <c r="D41" t="s">
        <v>2149</v>
      </c>
      <c r="E41" t="s">
        <v>1401</v>
      </c>
    </row>
    <row r="42" spans="1:5">
      <c r="A42">
        <v>41</v>
      </c>
      <c r="B42" t="s">
        <v>2096</v>
      </c>
      <c r="C42" t="b">
        <v>1</v>
      </c>
      <c r="D42" t="s">
        <v>2150</v>
      </c>
      <c r="E42" t="s">
        <v>2151</v>
      </c>
    </row>
    <row r="43" spans="1:5">
      <c r="A43">
        <v>42</v>
      </c>
      <c r="B43" t="s">
        <v>2096</v>
      </c>
      <c r="C43" t="b">
        <v>1</v>
      </c>
      <c r="D43" t="s">
        <v>2152</v>
      </c>
      <c r="E43" t="s">
        <v>2153</v>
      </c>
    </row>
    <row r="44" spans="1:5">
      <c r="A44">
        <v>43</v>
      </c>
      <c r="B44" t="s">
        <v>2096</v>
      </c>
      <c r="C44" t="b">
        <v>1</v>
      </c>
      <c r="D44" t="s">
        <v>2154</v>
      </c>
      <c r="E44" t="s">
        <v>2155</v>
      </c>
    </row>
    <row r="45" spans="1:5">
      <c r="A45">
        <v>44</v>
      </c>
      <c r="B45" t="s">
        <v>2096</v>
      </c>
      <c r="C45" t="b">
        <v>1</v>
      </c>
      <c r="D45" t="s">
        <v>2156</v>
      </c>
      <c r="E45" t="s">
        <v>1138</v>
      </c>
    </row>
    <row r="46" spans="1:5">
      <c r="A46">
        <v>45</v>
      </c>
      <c r="B46" t="s">
        <v>2096</v>
      </c>
      <c r="C46" t="b">
        <v>1</v>
      </c>
      <c r="D46" t="s">
        <v>1021</v>
      </c>
      <c r="E46" t="s">
        <v>2157</v>
      </c>
    </row>
    <row r="47" spans="1:5">
      <c r="A47">
        <v>46</v>
      </c>
      <c r="B47" t="s">
        <v>2096</v>
      </c>
      <c r="C47" t="b">
        <v>1</v>
      </c>
      <c r="D47" t="s">
        <v>690</v>
      </c>
      <c r="E47" t="s">
        <v>1203</v>
      </c>
    </row>
    <row r="48" spans="1:5">
      <c r="A48">
        <v>47</v>
      </c>
      <c r="B48" t="s">
        <v>2096</v>
      </c>
      <c r="C48" t="b">
        <v>1</v>
      </c>
      <c r="D48" t="s">
        <v>2158</v>
      </c>
      <c r="E48" t="s">
        <v>2159</v>
      </c>
    </row>
    <row r="49" spans="1:5">
      <c r="A49">
        <v>48</v>
      </c>
      <c r="B49" t="s">
        <v>2096</v>
      </c>
      <c r="C49" t="b">
        <v>1</v>
      </c>
      <c r="D49" t="s">
        <v>2103</v>
      </c>
      <c r="E49" t="s">
        <v>2160</v>
      </c>
    </row>
    <row r="50" spans="1:5">
      <c r="A50">
        <v>49</v>
      </c>
      <c r="B50" t="s">
        <v>2096</v>
      </c>
      <c r="C50" t="b">
        <v>1</v>
      </c>
      <c r="D50" t="s">
        <v>2161</v>
      </c>
      <c r="E50" t="s">
        <v>1483</v>
      </c>
    </row>
    <row r="51" spans="1:5">
      <c r="A51">
        <v>50</v>
      </c>
      <c r="B51" t="s">
        <v>2096</v>
      </c>
      <c r="C51" t="b">
        <v>1</v>
      </c>
      <c r="D51" t="s">
        <v>2162</v>
      </c>
      <c r="E51" t="s">
        <v>2163</v>
      </c>
    </row>
    <row r="52" spans="1:5">
      <c r="A52">
        <v>51</v>
      </c>
      <c r="B52" t="s">
        <v>2096</v>
      </c>
      <c r="C52" t="b">
        <v>1</v>
      </c>
      <c r="D52" t="s">
        <v>2164</v>
      </c>
      <c r="E52" t="s">
        <v>980</v>
      </c>
    </row>
    <row r="53" spans="1:5">
      <c r="A53">
        <v>52</v>
      </c>
      <c r="B53" t="s">
        <v>2096</v>
      </c>
      <c r="C53" t="b">
        <v>1</v>
      </c>
      <c r="D53" t="s">
        <v>2165</v>
      </c>
      <c r="E53" t="s">
        <v>2166</v>
      </c>
    </row>
    <row r="54" spans="1:5">
      <c r="A54">
        <v>53</v>
      </c>
      <c r="B54" t="s">
        <v>2096</v>
      </c>
      <c r="C54" t="b">
        <v>1</v>
      </c>
      <c r="D54" t="s">
        <v>2167</v>
      </c>
      <c r="E54" t="s">
        <v>2168</v>
      </c>
    </row>
    <row r="55" spans="1:5">
      <c r="A55">
        <v>54</v>
      </c>
      <c r="B55" t="s">
        <v>2096</v>
      </c>
      <c r="C55" t="b">
        <v>1</v>
      </c>
      <c r="D55" t="s">
        <v>1276</v>
      </c>
      <c r="E55" t="s">
        <v>2127</v>
      </c>
    </row>
    <row r="56" spans="1:5">
      <c r="A56">
        <v>55</v>
      </c>
      <c r="B56" t="s">
        <v>2096</v>
      </c>
      <c r="C56" t="b">
        <v>1</v>
      </c>
      <c r="D56" t="s">
        <v>763</v>
      </c>
      <c r="E56" t="s">
        <v>807</v>
      </c>
    </row>
    <row r="57" spans="1:5">
      <c r="A57">
        <v>56</v>
      </c>
      <c r="B57" t="s">
        <v>2096</v>
      </c>
      <c r="C57" t="b">
        <v>1</v>
      </c>
      <c r="D57" t="s">
        <v>2169</v>
      </c>
      <c r="E57" t="s">
        <v>2170</v>
      </c>
    </row>
    <row r="58" spans="1:5">
      <c r="A58">
        <v>57</v>
      </c>
      <c r="B58" t="s">
        <v>2096</v>
      </c>
      <c r="C58" t="b">
        <v>1</v>
      </c>
      <c r="D58" t="s">
        <v>2171</v>
      </c>
      <c r="E58" t="s">
        <v>2172</v>
      </c>
    </row>
    <row r="59" spans="1:5">
      <c r="A59">
        <v>58</v>
      </c>
      <c r="B59" t="s">
        <v>2173</v>
      </c>
      <c r="C59" t="b">
        <v>1</v>
      </c>
      <c r="D59" t="s">
        <v>2174</v>
      </c>
      <c r="E59" t="s">
        <v>2175</v>
      </c>
    </row>
    <row r="60" spans="1:5">
      <c r="A60">
        <v>59</v>
      </c>
      <c r="B60" t="s">
        <v>2173</v>
      </c>
      <c r="C60" t="b">
        <v>1</v>
      </c>
      <c r="D60" t="s">
        <v>2176</v>
      </c>
      <c r="E60" t="s">
        <v>2177</v>
      </c>
    </row>
    <row r="61" spans="1:5">
      <c r="A61">
        <v>60</v>
      </c>
      <c r="B61" t="s">
        <v>2173</v>
      </c>
      <c r="C61" t="b">
        <v>1</v>
      </c>
      <c r="D61" t="s">
        <v>2178</v>
      </c>
      <c r="E61" t="s">
        <v>755</v>
      </c>
    </row>
    <row r="62" spans="1:5">
      <c r="A62">
        <v>61</v>
      </c>
      <c r="B62" t="s">
        <v>2173</v>
      </c>
      <c r="C62" t="b">
        <v>1</v>
      </c>
      <c r="D62" t="s">
        <v>2179</v>
      </c>
      <c r="E62" t="s">
        <v>2180</v>
      </c>
    </row>
    <row r="63" spans="1:5">
      <c r="A63">
        <v>62</v>
      </c>
      <c r="B63" t="s">
        <v>2173</v>
      </c>
      <c r="C63" t="b">
        <v>1</v>
      </c>
      <c r="D63" t="s">
        <v>2181</v>
      </c>
      <c r="E63" t="s">
        <v>940</v>
      </c>
    </row>
    <row r="64" spans="1:5">
      <c r="A64">
        <v>63</v>
      </c>
      <c r="B64" t="s">
        <v>2173</v>
      </c>
      <c r="C64" t="b">
        <v>1</v>
      </c>
      <c r="D64" t="s">
        <v>2182</v>
      </c>
      <c r="E64" t="s">
        <v>1287</v>
      </c>
    </row>
    <row r="65" spans="1:5">
      <c r="A65">
        <v>64</v>
      </c>
      <c r="B65" t="s">
        <v>2173</v>
      </c>
      <c r="C65" t="b">
        <v>1</v>
      </c>
      <c r="D65" t="s">
        <v>1427</v>
      </c>
      <c r="E65" t="s">
        <v>2183</v>
      </c>
    </row>
    <row r="66" spans="1:5">
      <c r="A66">
        <v>65</v>
      </c>
      <c r="B66" t="s">
        <v>2173</v>
      </c>
      <c r="C66" t="b">
        <v>1</v>
      </c>
      <c r="D66" t="s">
        <v>911</v>
      </c>
      <c r="E66" t="s">
        <v>2184</v>
      </c>
    </row>
    <row r="67" spans="1:5">
      <c r="A67">
        <v>66</v>
      </c>
      <c r="B67" t="s">
        <v>2173</v>
      </c>
      <c r="C67" t="b">
        <v>1</v>
      </c>
      <c r="D67" t="s">
        <v>2185</v>
      </c>
      <c r="E67" t="s">
        <v>1411</v>
      </c>
    </row>
    <row r="68" spans="1:5">
      <c r="A68">
        <v>67</v>
      </c>
      <c r="B68" t="s">
        <v>2173</v>
      </c>
      <c r="C68" t="b">
        <v>1</v>
      </c>
      <c r="D68" t="s">
        <v>2186</v>
      </c>
      <c r="E68" t="s">
        <v>2187</v>
      </c>
    </row>
    <row r="69" spans="1:5">
      <c r="A69">
        <v>68</v>
      </c>
      <c r="B69" t="s">
        <v>2173</v>
      </c>
      <c r="C69" t="b">
        <v>1</v>
      </c>
      <c r="D69" t="s">
        <v>940</v>
      </c>
      <c r="E69" t="s">
        <v>1594</v>
      </c>
    </row>
    <row r="70" spans="1:5">
      <c r="A70">
        <v>69</v>
      </c>
      <c r="B70" t="s">
        <v>2173</v>
      </c>
      <c r="C70" t="b">
        <v>1</v>
      </c>
      <c r="D70" t="s">
        <v>2188</v>
      </c>
      <c r="E70" t="s">
        <v>2189</v>
      </c>
    </row>
    <row r="71" spans="1:5">
      <c r="A71">
        <v>70</v>
      </c>
      <c r="B71" t="s">
        <v>2173</v>
      </c>
      <c r="C71" t="b">
        <v>1</v>
      </c>
      <c r="D71" t="s">
        <v>626</v>
      </c>
      <c r="E71" t="s">
        <v>2190</v>
      </c>
    </row>
    <row r="72" spans="1:5">
      <c r="A72">
        <v>71</v>
      </c>
      <c r="B72" t="s">
        <v>2173</v>
      </c>
      <c r="C72" t="b">
        <v>1</v>
      </c>
      <c r="D72" t="s">
        <v>96</v>
      </c>
      <c r="E72" t="s">
        <v>842</v>
      </c>
    </row>
    <row r="73" spans="1:5">
      <c r="A73">
        <v>72</v>
      </c>
      <c r="B73" t="s">
        <v>2173</v>
      </c>
      <c r="C73" t="b">
        <v>1</v>
      </c>
      <c r="D73" t="s">
        <v>1272</v>
      </c>
      <c r="E73" t="s">
        <v>2191</v>
      </c>
    </row>
    <row r="74" spans="1:5">
      <c r="A74">
        <v>73</v>
      </c>
      <c r="B74" t="s">
        <v>2173</v>
      </c>
      <c r="C74" t="b">
        <v>1</v>
      </c>
      <c r="D74" t="s">
        <v>2192</v>
      </c>
      <c r="E74" t="s">
        <v>2193</v>
      </c>
    </row>
    <row r="75" spans="1:5">
      <c r="A75">
        <v>74</v>
      </c>
      <c r="B75" t="s">
        <v>2173</v>
      </c>
      <c r="C75" t="b">
        <v>1</v>
      </c>
      <c r="D75" t="s">
        <v>2194</v>
      </c>
      <c r="E75" t="s">
        <v>2195</v>
      </c>
    </row>
    <row r="76" spans="1:5">
      <c r="A76">
        <v>75</v>
      </c>
      <c r="B76" t="s">
        <v>2173</v>
      </c>
      <c r="C76" t="b">
        <v>1</v>
      </c>
      <c r="D76" t="s">
        <v>2196</v>
      </c>
      <c r="E76" t="s">
        <v>2197</v>
      </c>
    </row>
    <row r="77" spans="1:5">
      <c r="A77">
        <v>76</v>
      </c>
      <c r="B77" t="s">
        <v>2173</v>
      </c>
      <c r="C77" t="b">
        <v>1</v>
      </c>
      <c r="D77" t="s">
        <v>924</v>
      </c>
      <c r="E77" t="s">
        <v>2198</v>
      </c>
    </row>
    <row r="78" spans="1:5">
      <c r="A78">
        <v>77</v>
      </c>
      <c r="B78" t="s">
        <v>2173</v>
      </c>
      <c r="C78" t="b">
        <v>1</v>
      </c>
      <c r="D78" t="s">
        <v>1265</v>
      </c>
      <c r="E78" t="s">
        <v>2199</v>
      </c>
    </row>
    <row r="79" spans="1:5">
      <c r="A79">
        <v>78</v>
      </c>
      <c r="B79" t="s">
        <v>2173</v>
      </c>
      <c r="C79" t="b">
        <v>1</v>
      </c>
      <c r="D79" t="s">
        <v>2200</v>
      </c>
      <c r="E79" t="s">
        <v>2201</v>
      </c>
    </row>
    <row r="80" spans="1:5">
      <c r="A80">
        <v>79</v>
      </c>
      <c r="B80" t="s">
        <v>2173</v>
      </c>
      <c r="C80" t="b">
        <v>1</v>
      </c>
      <c r="D80" t="s">
        <v>2202</v>
      </c>
      <c r="E80" t="s">
        <v>1411</v>
      </c>
    </row>
    <row r="81" spans="1:5">
      <c r="A81">
        <v>80</v>
      </c>
      <c r="B81" t="s">
        <v>2173</v>
      </c>
      <c r="C81" t="b">
        <v>1</v>
      </c>
      <c r="D81" t="s">
        <v>2203</v>
      </c>
      <c r="E81" t="s">
        <v>2204</v>
      </c>
    </row>
    <row r="82" spans="1:5">
      <c r="A82">
        <v>81</v>
      </c>
      <c r="B82" t="s">
        <v>2173</v>
      </c>
      <c r="C82" t="b">
        <v>1</v>
      </c>
      <c r="D82" t="s">
        <v>2205</v>
      </c>
      <c r="E82" t="s">
        <v>2206</v>
      </c>
    </row>
    <row r="83" spans="1:5">
      <c r="A83">
        <v>82</v>
      </c>
      <c r="B83" t="s">
        <v>2173</v>
      </c>
      <c r="C83" t="b">
        <v>1</v>
      </c>
      <c r="D83" t="s">
        <v>92</v>
      </c>
      <c r="E83" t="s">
        <v>656</v>
      </c>
    </row>
    <row r="84" spans="1:5">
      <c r="A84">
        <v>83</v>
      </c>
      <c r="B84" t="s">
        <v>2173</v>
      </c>
      <c r="C84" t="b">
        <v>1</v>
      </c>
      <c r="D84" t="s">
        <v>639</v>
      </c>
      <c r="E84" t="s">
        <v>662</v>
      </c>
    </row>
    <row r="85" spans="1:5">
      <c r="A85">
        <v>84</v>
      </c>
      <c r="B85" t="s">
        <v>2173</v>
      </c>
      <c r="C85" t="b">
        <v>1</v>
      </c>
      <c r="D85" t="s">
        <v>2207</v>
      </c>
      <c r="E85" t="s">
        <v>2208</v>
      </c>
    </row>
    <row r="86" spans="1:5">
      <c r="A86">
        <v>85</v>
      </c>
      <c r="B86" t="s">
        <v>2209</v>
      </c>
      <c r="C86" t="b">
        <v>1</v>
      </c>
      <c r="D86" t="s">
        <v>716</v>
      </c>
      <c r="E86" t="s">
        <v>657</v>
      </c>
    </row>
    <row r="87" spans="1:5">
      <c r="A87">
        <v>86</v>
      </c>
      <c r="B87" t="s">
        <v>2209</v>
      </c>
      <c r="C87" t="b">
        <v>1</v>
      </c>
      <c r="D87" t="s">
        <v>2210</v>
      </c>
      <c r="E87" t="s">
        <v>2211</v>
      </c>
    </row>
    <row r="88" spans="1:5">
      <c r="A88">
        <v>87</v>
      </c>
      <c r="B88" t="s">
        <v>2209</v>
      </c>
      <c r="C88" t="b">
        <v>1</v>
      </c>
      <c r="D88" t="s">
        <v>2105</v>
      </c>
      <c r="E88" t="s">
        <v>1122</v>
      </c>
    </row>
    <row r="89" spans="1:5">
      <c r="A89">
        <v>88</v>
      </c>
      <c r="B89" t="s">
        <v>2209</v>
      </c>
      <c r="C89" t="b">
        <v>1</v>
      </c>
      <c r="D89" t="s">
        <v>1545</v>
      </c>
      <c r="E89" t="s">
        <v>2212</v>
      </c>
    </row>
    <row r="90" spans="1:5">
      <c r="A90">
        <v>89</v>
      </c>
      <c r="B90" t="s">
        <v>2209</v>
      </c>
      <c r="C90" t="b">
        <v>1</v>
      </c>
      <c r="D90" t="s">
        <v>2213</v>
      </c>
      <c r="E90" t="s">
        <v>2214</v>
      </c>
    </row>
    <row r="91" spans="1:5">
      <c r="A91">
        <v>90</v>
      </c>
      <c r="B91" t="s">
        <v>2209</v>
      </c>
      <c r="C91" t="b">
        <v>1</v>
      </c>
      <c r="D91" t="s">
        <v>866</v>
      </c>
      <c r="E91" t="s">
        <v>2215</v>
      </c>
    </row>
    <row r="92" spans="1:5">
      <c r="A92">
        <v>91</v>
      </c>
      <c r="B92" t="s">
        <v>2209</v>
      </c>
      <c r="C92" t="b">
        <v>1</v>
      </c>
      <c r="D92" t="s">
        <v>621</v>
      </c>
      <c r="E92" t="s">
        <v>2216</v>
      </c>
    </row>
    <row r="93" spans="1:5">
      <c r="A93">
        <v>92</v>
      </c>
      <c r="B93" t="s">
        <v>2209</v>
      </c>
      <c r="C93" t="b">
        <v>1</v>
      </c>
      <c r="D93" t="s">
        <v>2217</v>
      </c>
      <c r="E93" t="s">
        <v>2218</v>
      </c>
    </row>
    <row r="94" spans="1:5">
      <c r="A94">
        <v>93</v>
      </c>
      <c r="B94" t="s">
        <v>2209</v>
      </c>
      <c r="C94" t="b">
        <v>1</v>
      </c>
      <c r="D94" t="s">
        <v>847</v>
      </c>
      <c r="E94" t="s">
        <v>2219</v>
      </c>
    </row>
    <row r="95" spans="1:5">
      <c r="A95">
        <v>94</v>
      </c>
      <c r="B95" t="s">
        <v>2209</v>
      </c>
      <c r="C95" t="b">
        <v>1</v>
      </c>
      <c r="D95" t="s">
        <v>1233</v>
      </c>
      <c r="E95" t="s">
        <v>2220</v>
      </c>
    </row>
    <row r="96" spans="1:5">
      <c r="A96">
        <v>95</v>
      </c>
      <c r="B96" t="s">
        <v>2209</v>
      </c>
      <c r="C96" t="b">
        <v>1</v>
      </c>
      <c r="D96" t="s">
        <v>2203</v>
      </c>
      <c r="E96" t="s">
        <v>2162</v>
      </c>
    </row>
    <row r="97" spans="1:5">
      <c r="A97">
        <v>96</v>
      </c>
      <c r="B97" t="s">
        <v>2209</v>
      </c>
      <c r="C97" t="b">
        <v>1</v>
      </c>
      <c r="D97" t="s">
        <v>2221</v>
      </c>
      <c r="E97" t="s">
        <v>2222</v>
      </c>
    </row>
    <row r="98" spans="1:5">
      <c r="A98">
        <v>97</v>
      </c>
      <c r="B98" t="s">
        <v>2209</v>
      </c>
      <c r="C98" t="b">
        <v>1</v>
      </c>
      <c r="D98" t="s">
        <v>2223</v>
      </c>
      <c r="E98" t="s">
        <v>66</v>
      </c>
    </row>
    <row r="99" spans="1:5">
      <c r="A99">
        <v>98</v>
      </c>
      <c r="B99" t="s">
        <v>2209</v>
      </c>
      <c r="C99" t="b">
        <v>1</v>
      </c>
      <c r="D99" t="s">
        <v>2186</v>
      </c>
      <c r="E99" t="s">
        <v>2224</v>
      </c>
    </row>
    <row r="100" spans="1:5">
      <c r="A100">
        <v>99</v>
      </c>
      <c r="B100" t="s">
        <v>2209</v>
      </c>
      <c r="C100" t="b">
        <v>1</v>
      </c>
      <c r="D100" t="s">
        <v>836</v>
      </c>
      <c r="E100" t="s">
        <v>2225</v>
      </c>
    </row>
    <row r="101" spans="1:5">
      <c r="A101">
        <v>100</v>
      </c>
      <c r="B101" t="s">
        <v>2209</v>
      </c>
      <c r="C101" t="b">
        <v>1</v>
      </c>
      <c r="D101" t="s">
        <v>2226</v>
      </c>
      <c r="E101" t="s">
        <v>1151</v>
      </c>
    </row>
    <row r="102" spans="1:5">
      <c r="A102">
        <v>101</v>
      </c>
      <c r="B102" t="s">
        <v>2209</v>
      </c>
      <c r="C102" t="b">
        <v>1</v>
      </c>
      <c r="D102" t="s">
        <v>2227</v>
      </c>
      <c r="E102" t="s">
        <v>2228</v>
      </c>
    </row>
    <row r="103" spans="1:5">
      <c r="A103">
        <v>102</v>
      </c>
      <c r="B103" t="s">
        <v>2209</v>
      </c>
      <c r="C103" t="b">
        <v>1</v>
      </c>
      <c r="D103" t="s">
        <v>1058</v>
      </c>
      <c r="E103" t="s">
        <v>1280</v>
      </c>
    </row>
    <row r="104" spans="1:5">
      <c r="A104">
        <v>103</v>
      </c>
      <c r="B104" t="s">
        <v>2209</v>
      </c>
      <c r="C104" t="b">
        <v>1</v>
      </c>
      <c r="D104" t="s">
        <v>2229</v>
      </c>
      <c r="E104" t="s">
        <v>1276</v>
      </c>
    </row>
    <row r="105" spans="1:5">
      <c r="A105">
        <v>104</v>
      </c>
      <c r="B105" t="s">
        <v>2209</v>
      </c>
      <c r="C105" t="b">
        <v>1</v>
      </c>
      <c r="D105" t="s">
        <v>2230</v>
      </c>
      <c r="E105" t="s">
        <v>2198</v>
      </c>
    </row>
    <row r="106" spans="1:5">
      <c r="A106">
        <v>105</v>
      </c>
      <c r="B106" t="s">
        <v>2209</v>
      </c>
      <c r="C106" t="b">
        <v>1</v>
      </c>
      <c r="D106" t="s">
        <v>2231</v>
      </c>
      <c r="E106" t="s">
        <v>2232</v>
      </c>
    </row>
    <row r="107" spans="1:5">
      <c r="A107">
        <v>106</v>
      </c>
      <c r="B107" t="s">
        <v>2209</v>
      </c>
      <c r="C107" t="b">
        <v>1</v>
      </c>
      <c r="D107" t="s">
        <v>2233</v>
      </c>
      <c r="E107" t="s">
        <v>807</v>
      </c>
    </row>
    <row r="108" spans="1:5">
      <c r="A108">
        <v>107</v>
      </c>
      <c r="B108" t="s">
        <v>2209</v>
      </c>
      <c r="C108" t="b">
        <v>1</v>
      </c>
      <c r="D108" t="s">
        <v>2234</v>
      </c>
      <c r="E108" t="s">
        <v>1517</v>
      </c>
    </row>
    <row r="109" spans="1:5">
      <c r="A109">
        <v>108</v>
      </c>
      <c r="B109" t="s">
        <v>2209</v>
      </c>
      <c r="C109" t="b">
        <v>1</v>
      </c>
      <c r="D109" t="s">
        <v>2235</v>
      </c>
      <c r="E109" t="s">
        <v>2236</v>
      </c>
    </row>
    <row r="110" spans="1:5">
      <c r="A110">
        <v>109</v>
      </c>
      <c r="B110" t="s">
        <v>2209</v>
      </c>
      <c r="C110" t="b">
        <v>1</v>
      </c>
      <c r="D110" t="s">
        <v>659</v>
      </c>
      <c r="E110" t="s">
        <v>2237</v>
      </c>
    </row>
    <row r="111" spans="1:5">
      <c r="A111">
        <v>110</v>
      </c>
      <c r="B111" t="s">
        <v>2209</v>
      </c>
      <c r="C111" t="b">
        <v>1</v>
      </c>
      <c r="D111" t="s">
        <v>2238</v>
      </c>
      <c r="E111" t="s">
        <v>2239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110"/>
  <sheetViews>
    <sheetView zoomScale="95" zoomScaleNormal="95" workbookViewId="0"/>
  </sheetViews>
  <sheetFormatPr defaultColWidth="9" defaultRowHeight="14.4"/>
  <cols>
    <col min="1" max="1" width="15.5546875" style="5" bestFit="1" customWidth="1"/>
    <col min="2" max="2" width="15.5546875" style="5" customWidth="1"/>
    <col min="3" max="3" width="16.109375" bestFit="1" customWidth="1"/>
    <col min="4" max="4" width="13.88671875" bestFit="1" customWidth="1"/>
    <col min="6" max="6" width="13.6640625" customWidth="1"/>
    <col min="7" max="7" width="18" style="5" bestFit="1" customWidth="1"/>
  </cols>
  <sheetData>
    <row r="1" spans="1:10">
      <c r="A1" s="11" t="s">
        <v>2241</v>
      </c>
      <c r="B1" s="74" t="s">
        <v>136</v>
      </c>
      <c r="C1" s="1" t="s">
        <v>2259</v>
      </c>
      <c r="D1" s="1" t="s">
        <v>2240</v>
      </c>
      <c r="E1" s="1" t="s">
        <v>2043</v>
      </c>
      <c r="F1" s="1" t="s">
        <v>557</v>
      </c>
      <c r="G1" s="11" t="s">
        <v>2258</v>
      </c>
    </row>
    <row r="2" spans="1:10">
      <c r="A2" s="5">
        <v>1</v>
      </c>
      <c r="B2" s="5">
        <v>1</v>
      </c>
      <c r="C2" s="68">
        <v>8.3591047096508202</v>
      </c>
      <c r="D2" s="68">
        <v>8.3591047096508202</v>
      </c>
      <c r="E2" t="b">
        <f>IF(C2=D2,TRUE,FALSE)</f>
        <v>1</v>
      </c>
      <c r="F2" t="s">
        <v>2256</v>
      </c>
      <c r="G2" s="63">
        <v>45327</v>
      </c>
      <c r="J2" s="2"/>
    </row>
    <row r="3" spans="1:10">
      <c r="A3" s="5">
        <v>2</v>
      </c>
      <c r="B3" s="5">
        <v>1</v>
      </c>
      <c r="C3" s="68">
        <v>477</v>
      </c>
      <c r="D3" s="68">
        <f t="shared" ref="D3:D66" ca="1" si="0">RANDBETWEEN(1,1000)</f>
        <v>351</v>
      </c>
      <c r="E3" t="b">
        <f t="shared" ref="E3:E66" ca="1" si="1">IF(C3=D3,TRUE,FALSE)</f>
        <v>0</v>
      </c>
      <c r="F3" t="s">
        <v>2256</v>
      </c>
      <c r="G3" s="63">
        <v>45328</v>
      </c>
      <c r="J3" s="2"/>
    </row>
    <row r="4" spans="1:10">
      <c r="A4" s="5">
        <v>3</v>
      </c>
      <c r="B4" s="5">
        <v>1</v>
      </c>
      <c r="C4" s="68">
        <v>241</v>
      </c>
      <c r="D4" s="68">
        <f t="shared" ca="1" si="0"/>
        <v>632</v>
      </c>
      <c r="E4" t="b">
        <f t="shared" ca="1" si="1"/>
        <v>0</v>
      </c>
      <c r="F4" t="s">
        <v>2257</v>
      </c>
      <c r="G4" s="63">
        <v>45329</v>
      </c>
      <c r="J4" s="2"/>
    </row>
    <row r="5" spans="1:10">
      <c r="A5" s="5">
        <v>4</v>
      </c>
      <c r="B5" s="5">
        <v>1</v>
      </c>
      <c r="C5" s="68">
        <v>82</v>
      </c>
      <c r="D5" s="68">
        <f t="shared" ca="1" si="0"/>
        <v>115</v>
      </c>
      <c r="E5" t="b">
        <f t="shared" ca="1" si="1"/>
        <v>0</v>
      </c>
      <c r="F5" t="s">
        <v>2257</v>
      </c>
      <c r="G5" s="63">
        <v>45330</v>
      </c>
      <c r="J5" s="2"/>
    </row>
    <row r="6" spans="1:10">
      <c r="A6" s="5">
        <v>5</v>
      </c>
      <c r="B6" s="5">
        <v>2</v>
      </c>
      <c r="C6" s="68">
        <v>357</v>
      </c>
      <c r="D6" s="68">
        <f t="shared" ca="1" si="0"/>
        <v>68</v>
      </c>
      <c r="E6" t="b">
        <f t="shared" ca="1" si="1"/>
        <v>0</v>
      </c>
      <c r="F6" t="s">
        <v>2257</v>
      </c>
      <c r="G6" s="63">
        <v>45331</v>
      </c>
      <c r="J6" s="2"/>
    </row>
    <row r="7" spans="1:10">
      <c r="A7" s="5">
        <v>6</v>
      </c>
      <c r="B7" s="5">
        <v>3</v>
      </c>
      <c r="C7" s="68">
        <v>515</v>
      </c>
      <c r="D7" s="68">
        <f t="shared" ca="1" si="0"/>
        <v>822</v>
      </c>
      <c r="E7" t="b">
        <f t="shared" ca="1" si="1"/>
        <v>0</v>
      </c>
      <c r="F7" t="s">
        <v>2257</v>
      </c>
      <c r="G7" s="63">
        <v>45332</v>
      </c>
      <c r="J7" s="2"/>
    </row>
    <row r="8" spans="1:10">
      <c r="A8" s="5">
        <v>7</v>
      </c>
      <c r="B8" s="5">
        <v>1</v>
      </c>
      <c r="C8" s="68">
        <v>31</v>
      </c>
      <c r="D8" s="68">
        <v>31</v>
      </c>
      <c r="E8" t="b">
        <f t="shared" si="1"/>
        <v>1</v>
      </c>
      <c r="F8" t="s">
        <v>2256</v>
      </c>
      <c r="G8" s="63">
        <v>45333</v>
      </c>
      <c r="J8" s="2"/>
    </row>
    <row r="9" spans="1:10">
      <c r="A9" s="5">
        <v>8</v>
      </c>
      <c r="B9" s="5">
        <v>2</v>
      </c>
      <c r="C9" s="68">
        <v>354</v>
      </c>
      <c r="D9" s="68">
        <v>354</v>
      </c>
      <c r="E9" t="b">
        <f t="shared" si="1"/>
        <v>1</v>
      </c>
      <c r="F9" t="s">
        <v>2256</v>
      </c>
      <c r="G9" s="63">
        <v>45334</v>
      </c>
      <c r="J9" s="2"/>
    </row>
    <row r="10" spans="1:10">
      <c r="A10" s="5">
        <v>9</v>
      </c>
      <c r="B10" s="5">
        <v>3</v>
      </c>
      <c r="C10" s="68">
        <v>79</v>
      </c>
      <c r="D10" s="68">
        <v>79</v>
      </c>
      <c r="E10" t="b">
        <f t="shared" si="1"/>
        <v>1</v>
      </c>
      <c r="F10" t="s">
        <v>2256</v>
      </c>
      <c r="G10" s="63">
        <v>45335</v>
      </c>
      <c r="J10" s="2"/>
    </row>
    <row r="11" spans="1:10">
      <c r="A11" s="5">
        <v>10</v>
      </c>
      <c r="B11" s="5">
        <v>1</v>
      </c>
      <c r="C11" s="68">
        <v>379</v>
      </c>
      <c r="D11" s="68">
        <f t="shared" ca="1" si="0"/>
        <v>430</v>
      </c>
      <c r="E11" t="b">
        <f t="shared" ca="1" si="1"/>
        <v>0</v>
      </c>
      <c r="F11" t="s">
        <v>2256</v>
      </c>
      <c r="G11" s="63">
        <v>45336</v>
      </c>
      <c r="J11" s="2"/>
    </row>
    <row r="12" spans="1:10">
      <c r="A12" s="5">
        <v>11</v>
      </c>
      <c r="B12" s="5">
        <v>2</v>
      </c>
      <c r="C12" s="68">
        <v>397</v>
      </c>
      <c r="D12" s="68">
        <f t="shared" ca="1" si="0"/>
        <v>194</v>
      </c>
      <c r="E12" t="b">
        <f t="shared" ca="1" si="1"/>
        <v>0</v>
      </c>
      <c r="F12" t="s">
        <v>2256</v>
      </c>
      <c r="G12" s="63">
        <v>45337</v>
      </c>
      <c r="J12" s="2"/>
    </row>
    <row r="13" spans="1:10">
      <c r="A13" s="5">
        <v>12</v>
      </c>
      <c r="C13" s="68">
        <v>417</v>
      </c>
      <c r="D13" s="68">
        <f t="shared" ca="1" si="0"/>
        <v>924</v>
      </c>
      <c r="E13" t="b">
        <f t="shared" ca="1" si="1"/>
        <v>0</v>
      </c>
      <c r="F13" t="s">
        <v>2256</v>
      </c>
      <c r="G13" s="63">
        <v>45338</v>
      </c>
      <c r="J13" s="2"/>
    </row>
    <row r="14" spans="1:10">
      <c r="A14" s="5">
        <v>13</v>
      </c>
      <c r="C14" s="68">
        <v>472</v>
      </c>
      <c r="D14" s="68">
        <f t="shared" ca="1" si="0"/>
        <v>953</v>
      </c>
      <c r="E14" t="b">
        <f t="shared" ca="1" si="1"/>
        <v>0</v>
      </c>
      <c r="F14" t="s">
        <v>2256</v>
      </c>
      <c r="G14" s="63">
        <v>45339</v>
      </c>
      <c r="J14" s="2"/>
    </row>
    <row r="15" spans="1:10">
      <c r="A15" s="5">
        <v>14</v>
      </c>
      <c r="C15" s="68">
        <v>974</v>
      </c>
      <c r="D15" s="68">
        <f t="shared" ca="1" si="0"/>
        <v>311</v>
      </c>
      <c r="E15" t="b">
        <f t="shared" ca="1" si="1"/>
        <v>0</v>
      </c>
      <c r="F15" t="s">
        <v>2256</v>
      </c>
      <c r="G15" s="63">
        <v>45340</v>
      </c>
      <c r="J15" s="2"/>
    </row>
    <row r="16" spans="1:10">
      <c r="A16" s="5">
        <v>15</v>
      </c>
      <c r="C16" s="68">
        <v>118</v>
      </c>
      <c r="D16" s="68">
        <f t="shared" ca="1" si="0"/>
        <v>287</v>
      </c>
      <c r="E16" t="b">
        <f t="shared" ca="1" si="1"/>
        <v>0</v>
      </c>
      <c r="F16" t="s">
        <v>2256</v>
      </c>
      <c r="G16" s="63">
        <v>45341</v>
      </c>
      <c r="J16" s="2"/>
    </row>
    <row r="17" spans="1:10">
      <c r="A17" s="5">
        <v>16</v>
      </c>
      <c r="C17" s="68">
        <v>244</v>
      </c>
      <c r="D17" s="68">
        <f t="shared" ca="1" si="0"/>
        <v>739</v>
      </c>
      <c r="E17" t="b">
        <f t="shared" ca="1" si="1"/>
        <v>0</v>
      </c>
      <c r="F17" t="s">
        <v>2256</v>
      </c>
      <c r="G17" s="63">
        <v>45342</v>
      </c>
      <c r="J17" s="2"/>
    </row>
    <row r="18" spans="1:10">
      <c r="A18" s="5">
        <v>17</v>
      </c>
      <c r="C18" s="68">
        <v>488</v>
      </c>
      <c r="D18" s="68">
        <f t="shared" ca="1" si="0"/>
        <v>27</v>
      </c>
      <c r="E18" t="b">
        <f t="shared" ca="1" si="1"/>
        <v>0</v>
      </c>
      <c r="F18" t="s">
        <v>2256</v>
      </c>
      <c r="G18" s="63">
        <v>45343</v>
      </c>
      <c r="J18" s="2"/>
    </row>
    <row r="19" spans="1:10">
      <c r="A19" s="5">
        <v>18</v>
      </c>
      <c r="C19" s="68">
        <v>114</v>
      </c>
      <c r="D19" s="68">
        <v>114</v>
      </c>
      <c r="E19" t="b">
        <f t="shared" si="1"/>
        <v>1</v>
      </c>
      <c r="F19" t="s">
        <v>2256</v>
      </c>
      <c r="G19" s="63">
        <v>45344</v>
      </c>
      <c r="J19" s="2"/>
    </row>
    <row r="20" spans="1:10">
      <c r="A20" s="5">
        <v>19</v>
      </c>
      <c r="C20" s="68">
        <v>715</v>
      </c>
      <c r="D20" s="68">
        <v>715</v>
      </c>
      <c r="E20" t="b">
        <f t="shared" si="1"/>
        <v>1</v>
      </c>
      <c r="F20" t="s">
        <v>2256</v>
      </c>
      <c r="G20" s="63">
        <v>45345</v>
      </c>
      <c r="J20" s="2"/>
    </row>
    <row r="21" spans="1:10">
      <c r="A21" s="5">
        <v>20</v>
      </c>
      <c r="C21" s="68">
        <v>960</v>
      </c>
      <c r="D21" s="68">
        <v>960</v>
      </c>
      <c r="E21" t="b">
        <f t="shared" si="1"/>
        <v>1</v>
      </c>
      <c r="F21" t="s">
        <v>2256</v>
      </c>
      <c r="G21" s="63">
        <v>45346</v>
      </c>
      <c r="J21" s="2"/>
    </row>
    <row r="22" spans="1:10">
      <c r="A22" s="5">
        <v>21</v>
      </c>
      <c r="C22" s="68">
        <v>21</v>
      </c>
      <c r="D22" s="68">
        <v>21</v>
      </c>
      <c r="E22" t="b">
        <f t="shared" si="1"/>
        <v>1</v>
      </c>
      <c r="F22" t="s">
        <v>2256</v>
      </c>
      <c r="G22" s="63">
        <v>45347</v>
      </c>
      <c r="J22" s="2"/>
    </row>
    <row r="23" spans="1:10">
      <c r="A23" s="5">
        <v>22</v>
      </c>
      <c r="C23" s="68">
        <v>516</v>
      </c>
      <c r="D23" s="68">
        <v>516</v>
      </c>
      <c r="E23" t="b">
        <f t="shared" si="1"/>
        <v>1</v>
      </c>
      <c r="F23" t="s">
        <v>2256</v>
      </c>
      <c r="G23" s="63">
        <v>45348</v>
      </c>
      <c r="J23" s="2"/>
    </row>
    <row r="24" spans="1:10">
      <c r="A24" s="5">
        <v>23</v>
      </c>
      <c r="C24" s="68">
        <v>691</v>
      </c>
      <c r="D24" s="68">
        <v>691</v>
      </c>
      <c r="E24" t="b">
        <f t="shared" si="1"/>
        <v>1</v>
      </c>
      <c r="F24" t="s">
        <v>2256</v>
      </c>
      <c r="G24" s="63">
        <v>45349</v>
      </c>
      <c r="J24" s="2"/>
    </row>
    <row r="25" spans="1:10">
      <c r="A25" s="5">
        <v>24</v>
      </c>
      <c r="C25" s="68">
        <v>675</v>
      </c>
      <c r="D25" s="68">
        <v>675</v>
      </c>
      <c r="E25" t="b">
        <f t="shared" si="1"/>
        <v>1</v>
      </c>
      <c r="F25" t="s">
        <v>2256</v>
      </c>
      <c r="G25" s="63">
        <v>45350</v>
      </c>
      <c r="J25" s="2"/>
    </row>
    <row r="26" spans="1:10">
      <c r="A26" s="5">
        <v>25</v>
      </c>
      <c r="C26" s="68">
        <v>801</v>
      </c>
      <c r="D26" s="68">
        <v>801</v>
      </c>
      <c r="E26" t="b">
        <f t="shared" si="1"/>
        <v>1</v>
      </c>
      <c r="F26" t="s">
        <v>2257</v>
      </c>
      <c r="G26" s="63">
        <v>45351</v>
      </c>
      <c r="J26" s="2"/>
    </row>
    <row r="27" spans="1:10">
      <c r="A27" s="5">
        <v>26</v>
      </c>
      <c r="C27" s="68">
        <v>791</v>
      </c>
      <c r="D27" s="68">
        <v>791</v>
      </c>
      <c r="E27" t="b">
        <f t="shared" si="1"/>
        <v>1</v>
      </c>
      <c r="F27" t="s">
        <v>2257</v>
      </c>
      <c r="G27" s="63">
        <v>45352</v>
      </c>
      <c r="J27" s="2"/>
    </row>
    <row r="28" spans="1:10">
      <c r="A28" s="5">
        <v>27</v>
      </c>
      <c r="C28" s="68">
        <v>291</v>
      </c>
      <c r="D28" s="68">
        <v>291</v>
      </c>
      <c r="E28" t="b">
        <f t="shared" si="1"/>
        <v>1</v>
      </c>
      <c r="F28" t="s">
        <v>2257</v>
      </c>
      <c r="G28" s="63">
        <v>45353</v>
      </c>
      <c r="J28" s="2"/>
    </row>
    <row r="29" spans="1:10">
      <c r="A29" s="5">
        <v>28</v>
      </c>
      <c r="C29" s="68">
        <v>912</v>
      </c>
      <c r="D29" s="68">
        <v>912</v>
      </c>
      <c r="E29" t="b">
        <f t="shared" si="1"/>
        <v>1</v>
      </c>
      <c r="F29" t="s">
        <v>2257</v>
      </c>
      <c r="G29" s="63">
        <v>45354</v>
      </c>
      <c r="J29" s="2"/>
    </row>
    <row r="30" spans="1:10">
      <c r="A30" s="5">
        <v>29</v>
      </c>
      <c r="C30" s="68">
        <v>608</v>
      </c>
      <c r="D30" s="68">
        <v>608</v>
      </c>
      <c r="E30" t="b">
        <f t="shared" si="1"/>
        <v>1</v>
      </c>
      <c r="F30" t="s">
        <v>2257</v>
      </c>
      <c r="G30" s="63">
        <v>45355</v>
      </c>
      <c r="J30" s="2"/>
    </row>
    <row r="31" spans="1:10">
      <c r="A31" s="5">
        <v>30</v>
      </c>
      <c r="C31" s="68">
        <v>935</v>
      </c>
      <c r="D31" s="68">
        <v>935</v>
      </c>
      <c r="E31" t="b">
        <f t="shared" si="1"/>
        <v>1</v>
      </c>
      <c r="F31" t="s">
        <v>2257</v>
      </c>
      <c r="G31" s="63">
        <v>45356</v>
      </c>
      <c r="J31" s="2"/>
    </row>
    <row r="32" spans="1:10">
      <c r="A32" s="5">
        <v>31</v>
      </c>
      <c r="C32" s="68">
        <v>522</v>
      </c>
      <c r="D32" s="68">
        <v>522</v>
      </c>
      <c r="E32" t="b">
        <f t="shared" si="1"/>
        <v>1</v>
      </c>
      <c r="F32" t="s">
        <v>2257</v>
      </c>
      <c r="G32" s="63">
        <v>45357</v>
      </c>
      <c r="J32" s="2"/>
    </row>
    <row r="33" spans="1:10">
      <c r="A33" s="5">
        <v>32</v>
      </c>
      <c r="C33" s="68">
        <v>106</v>
      </c>
      <c r="D33" s="68">
        <v>106</v>
      </c>
      <c r="E33" t="b">
        <f t="shared" si="1"/>
        <v>1</v>
      </c>
      <c r="F33" t="s">
        <v>2257</v>
      </c>
      <c r="G33" s="63">
        <v>45358</v>
      </c>
      <c r="J33" s="2"/>
    </row>
    <row r="34" spans="1:10">
      <c r="A34" s="5">
        <v>33</v>
      </c>
      <c r="C34" s="68">
        <v>58</v>
      </c>
      <c r="D34" s="68">
        <v>58</v>
      </c>
      <c r="E34" t="b">
        <f t="shared" si="1"/>
        <v>1</v>
      </c>
      <c r="F34" t="s">
        <v>2257</v>
      </c>
      <c r="G34" s="63">
        <v>45359</v>
      </c>
      <c r="J34" s="2"/>
    </row>
    <row r="35" spans="1:10">
      <c r="A35" s="5">
        <v>34</v>
      </c>
      <c r="C35" s="68">
        <v>264</v>
      </c>
      <c r="D35" s="68">
        <v>264</v>
      </c>
      <c r="E35" t="b">
        <f t="shared" si="1"/>
        <v>1</v>
      </c>
      <c r="F35" t="s">
        <v>2257</v>
      </c>
      <c r="G35" s="63">
        <v>45360</v>
      </c>
      <c r="J35" s="2"/>
    </row>
    <row r="36" spans="1:10">
      <c r="A36" s="5">
        <v>35</v>
      </c>
      <c r="C36" s="68">
        <v>357</v>
      </c>
      <c r="D36" s="68">
        <v>357</v>
      </c>
      <c r="E36" t="b">
        <f t="shared" si="1"/>
        <v>1</v>
      </c>
      <c r="F36" t="s">
        <v>2257</v>
      </c>
      <c r="G36" s="63">
        <v>45361</v>
      </c>
      <c r="J36" s="2"/>
    </row>
    <row r="37" spans="1:10">
      <c r="A37" s="5">
        <v>36</v>
      </c>
      <c r="C37" s="68">
        <v>19</v>
      </c>
      <c r="D37" s="68">
        <v>19</v>
      </c>
      <c r="E37" t="b">
        <f t="shared" si="1"/>
        <v>1</v>
      </c>
      <c r="F37" t="s">
        <v>2257</v>
      </c>
      <c r="G37" s="63">
        <v>45362</v>
      </c>
      <c r="J37" s="2"/>
    </row>
    <row r="38" spans="1:10">
      <c r="A38" s="5">
        <v>37</v>
      </c>
      <c r="C38" s="68">
        <v>479</v>
      </c>
      <c r="D38" s="68">
        <v>479</v>
      </c>
      <c r="E38" t="b">
        <f t="shared" si="1"/>
        <v>1</v>
      </c>
      <c r="F38" t="s">
        <v>2257</v>
      </c>
      <c r="G38" s="63">
        <v>45363</v>
      </c>
      <c r="J38" s="2"/>
    </row>
    <row r="39" spans="1:10">
      <c r="A39" s="5">
        <v>38</v>
      </c>
      <c r="C39" s="68">
        <v>369</v>
      </c>
      <c r="D39" s="68">
        <v>369</v>
      </c>
      <c r="E39" t="b">
        <f t="shared" si="1"/>
        <v>1</v>
      </c>
      <c r="F39" t="s">
        <v>2257</v>
      </c>
      <c r="G39" s="63">
        <v>45364</v>
      </c>
      <c r="J39" s="2"/>
    </row>
    <row r="40" spans="1:10">
      <c r="A40" s="5">
        <v>39</v>
      </c>
      <c r="C40" s="68">
        <v>138</v>
      </c>
      <c r="D40" s="68">
        <v>138</v>
      </c>
      <c r="E40" t="b">
        <f t="shared" si="1"/>
        <v>1</v>
      </c>
      <c r="F40" t="s">
        <v>2257</v>
      </c>
      <c r="G40" s="63">
        <v>45365</v>
      </c>
      <c r="J40" s="2"/>
    </row>
    <row r="41" spans="1:10">
      <c r="A41" s="5">
        <v>40</v>
      </c>
      <c r="C41" s="68">
        <v>748</v>
      </c>
      <c r="D41" s="68">
        <v>748</v>
      </c>
      <c r="E41" t="b">
        <f t="shared" si="1"/>
        <v>1</v>
      </c>
      <c r="F41" t="s">
        <v>2257</v>
      </c>
      <c r="G41" s="63">
        <v>45366</v>
      </c>
      <c r="J41" s="2"/>
    </row>
    <row r="42" spans="1:10">
      <c r="A42" s="5">
        <v>41</v>
      </c>
      <c r="C42" s="68">
        <v>991</v>
      </c>
      <c r="D42" s="68">
        <v>991</v>
      </c>
      <c r="E42" t="b">
        <f t="shared" si="1"/>
        <v>1</v>
      </c>
      <c r="F42" t="s">
        <v>2257</v>
      </c>
      <c r="G42" s="63">
        <v>45367</v>
      </c>
      <c r="J42" s="2"/>
    </row>
    <row r="43" spans="1:10">
      <c r="A43" s="5">
        <v>42</v>
      </c>
      <c r="C43" s="68">
        <v>751</v>
      </c>
      <c r="D43" s="68">
        <v>751</v>
      </c>
      <c r="E43" t="b">
        <f t="shared" si="1"/>
        <v>1</v>
      </c>
      <c r="F43" t="s">
        <v>2256</v>
      </c>
      <c r="G43" s="63">
        <v>45368</v>
      </c>
      <c r="J43" s="2"/>
    </row>
    <row r="44" spans="1:10">
      <c r="A44" s="5">
        <v>43</v>
      </c>
      <c r="C44" s="68">
        <v>402</v>
      </c>
      <c r="D44" s="68">
        <v>402</v>
      </c>
      <c r="E44" t="b">
        <f t="shared" si="1"/>
        <v>1</v>
      </c>
      <c r="F44" t="s">
        <v>2256</v>
      </c>
      <c r="G44" s="63">
        <v>45369</v>
      </c>
      <c r="J44" s="2"/>
    </row>
    <row r="45" spans="1:10">
      <c r="A45" s="5">
        <v>44</v>
      </c>
      <c r="C45" s="68">
        <v>440</v>
      </c>
      <c r="D45" s="68">
        <v>440</v>
      </c>
      <c r="E45" t="b">
        <f t="shared" si="1"/>
        <v>1</v>
      </c>
      <c r="F45" t="s">
        <v>2256</v>
      </c>
      <c r="G45" s="63">
        <v>45370</v>
      </c>
      <c r="J45" s="2"/>
    </row>
    <row r="46" spans="1:10">
      <c r="A46" s="5">
        <v>45</v>
      </c>
      <c r="C46" s="68">
        <v>427</v>
      </c>
      <c r="D46" s="68">
        <v>427</v>
      </c>
      <c r="E46" t="b">
        <f t="shared" si="1"/>
        <v>1</v>
      </c>
      <c r="F46" t="s">
        <v>2256</v>
      </c>
      <c r="G46" s="63">
        <v>45371</v>
      </c>
      <c r="J46" s="2"/>
    </row>
    <row r="47" spans="1:10">
      <c r="A47" s="5">
        <v>46</v>
      </c>
      <c r="C47" s="68">
        <v>456</v>
      </c>
      <c r="D47" s="68">
        <v>456</v>
      </c>
      <c r="E47" t="b">
        <f t="shared" si="1"/>
        <v>1</v>
      </c>
      <c r="F47" t="s">
        <v>2256</v>
      </c>
      <c r="G47" s="63">
        <v>45372</v>
      </c>
      <c r="J47" s="2"/>
    </row>
    <row r="48" spans="1:10">
      <c r="A48" s="5">
        <v>47</v>
      </c>
      <c r="C48" s="68">
        <v>709</v>
      </c>
      <c r="D48" s="68">
        <f t="shared" ca="1" si="0"/>
        <v>674</v>
      </c>
      <c r="E48" t="b">
        <f t="shared" ca="1" si="1"/>
        <v>0</v>
      </c>
      <c r="F48" t="s">
        <v>2256</v>
      </c>
      <c r="G48" s="63">
        <v>45373</v>
      </c>
      <c r="J48" s="2"/>
    </row>
    <row r="49" spans="1:10">
      <c r="A49" s="5">
        <v>48</v>
      </c>
      <c r="C49" s="68">
        <v>486</v>
      </c>
      <c r="D49" s="68">
        <f t="shared" ca="1" si="0"/>
        <v>481</v>
      </c>
      <c r="E49" t="b">
        <f t="shared" ca="1" si="1"/>
        <v>0</v>
      </c>
      <c r="F49" t="s">
        <v>2256</v>
      </c>
      <c r="G49" s="63">
        <v>45374</v>
      </c>
      <c r="J49" s="2"/>
    </row>
    <row r="50" spans="1:10">
      <c r="A50" s="5">
        <v>49</v>
      </c>
      <c r="C50" s="68">
        <v>570</v>
      </c>
      <c r="D50" s="68">
        <f t="shared" ca="1" si="0"/>
        <v>526</v>
      </c>
      <c r="E50" t="b">
        <f t="shared" ca="1" si="1"/>
        <v>0</v>
      </c>
      <c r="F50" t="s">
        <v>2256</v>
      </c>
      <c r="G50" s="63">
        <v>45375</v>
      </c>
      <c r="J50" s="2"/>
    </row>
    <row r="51" spans="1:10">
      <c r="A51" s="5">
        <v>50</v>
      </c>
      <c r="C51" s="68">
        <v>339</v>
      </c>
      <c r="D51" s="68">
        <f t="shared" ca="1" si="0"/>
        <v>12</v>
      </c>
      <c r="E51" t="b">
        <f t="shared" ca="1" si="1"/>
        <v>0</v>
      </c>
      <c r="F51" t="s">
        <v>2256</v>
      </c>
      <c r="G51" s="63">
        <v>45376</v>
      </c>
      <c r="J51" s="2"/>
    </row>
    <row r="52" spans="1:10">
      <c r="A52" s="5">
        <v>51</v>
      </c>
      <c r="C52" s="68">
        <v>357</v>
      </c>
      <c r="D52" s="68">
        <f t="shared" ca="1" si="0"/>
        <v>763</v>
      </c>
      <c r="E52" t="b">
        <f t="shared" ca="1" si="1"/>
        <v>0</v>
      </c>
      <c r="F52" t="s">
        <v>2256</v>
      </c>
      <c r="G52" s="63">
        <v>45377</v>
      </c>
      <c r="J52" s="2"/>
    </row>
    <row r="53" spans="1:10">
      <c r="A53" s="5">
        <v>52</v>
      </c>
      <c r="C53" s="68">
        <v>832</v>
      </c>
      <c r="D53" s="68">
        <f t="shared" ca="1" si="0"/>
        <v>325</v>
      </c>
      <c r="E53" t="b">
        <f t="shared" ca="1" si="1"/>
        <v>0</v>
      </c>
      <c r="F53" t="s">
        <v>2256</v>
      </c>
      <c r="G53" s="63">
        <v>45378</v>
      </c>
      <c r="J53" s="2"/>
    </row>
    <row r="54" spans="1:10">
      <c r="A54" s="5">
        <v>53</v>
      </c>
      <c r="C54" s="68">
        <v>810</v>
      </c>
      <c r="D54" s="68">
        <f t="shared" ca="1" si="0"/>
        <v>754</v>
      </c>
      <c r="E54" t="b">
        <f t="shared" ca="1" si="1"/>
        <v>0</v>
      </c>
      <c r="F54" t="s">
        <v>2256</v>
      </c>
      <c r="G54" s="63">
        <v>45379</v>
      </c>
      <c r="J54" s="2"/>
    </row>
    <row r="55" spans="1:10">
      <c r="A55" s="5">
        <v>54</v>
      </c>
      <c r="C55" s="68">
        <v>141</v>
      </c>
      <c r="D55" s="68">
        <f t="shared" ca="1" si="0"/>
        <v>286</v>
      </c>
      <c r="E55" t="b">
        <f t="shared" ca="1" si="1"/>
        <v>0</v>
      </c>
      <c r="F55" t="s">
        <v>2256</v>
      </c>
      <c r="G55" s="63">
        <v>45380</v>
      </c>
      <c r="J55" s="2"/>
    </row>
    <row r="56" spans="1:10">
      <c r="A56" s="5">
        <v>55</v>
      </c>
      <c r="C56" s="68">
        <v>526</v>
      </c>
      <c r="D56" s="68">
        <f t="shared" ca="1" si="0"/>
        <v>558</v>
      </c>
      <c r="E56" t="b">
        <f t="shared" ca="1" si="1"/>
        <v>0</v>
      </c>
      <c r="F56" t="s">
        <v>2256</v>
      </c>
      <c r="G56" s="63">
        <v>45381</v>
      </c>
      <c r="J56" s="2"/>
    </row>
    <row r="57" spans="1:10">
      <c r="A57" s="5">
        <v>56</v>
      </c>
      <c r="C57" s="68">
        <v>821</v>
      </c>
      <c r="D57" s="68">
        <f t="shared" ca="1" si="0"/>
        <v>680</v>
      </c>
      <c r="E57" t="b">
        <f t="shared" ca="1" si="1"/>
        <v>0</v>
      </c>
      <c r="F57" t="s">
        <v>2257</v>
      </c>
      <c r="G57" s="63">
        <v>45382</v>
      </c>
      <c r="J57" s="2"/>
    </row>
    <row r="58" spans="1:10">
      <c r="A58" s="5">
        <v>57</v>
      </c>
      <c r="C58" s="68">
        <v>630</v>
      </c>
      <c r="D58" s="68">
        <f t="shared" ca="1" si="0"/>
        <v>835</v>
      </c>
      <c r="E58" t="b">
        <f t="shared" ca="1" si="1"/>
        <v>0</v>
      </c>
      <c r="F58" t="s">
        <v>2257</v>
      </c>
      <c r="G58" s="63">
        <v>45383</v>
      </c>
      <c r="J58" s="2"/>
    </row>
    <row r="59" spans="1:10">
      <c r="A59" s="5">
        <v>58</v>
      </c>
      <c r="C59" s="68">
        <v>893</v>
      </c>
      <c r="D59" s="68">
        <f t="shared" ca="1" si="0"/>
        <v>637</v>
      </c>
      <c r="E59" t="b">
        <f t="shared" ca="1" si="1"/>
        <v>0</v>
      </c>
      <c r="F59" t="s">
        <v>2256</v>
      </c>
      <c r="G59" s="63">
        <v>45384</v>
      </c>
      <c r="J59" s="2"/>
    </row>
    <row r="60" spans="1:10">
      <c r="A60" s="5">
        <v>59</v>
      </c>
      <c r="C60" s="68">
        <v>892</v>
      </c>
      <c r="D60" s="68">
        <f t="shared" ca="1" si="0"/>
        <v>134</v>
      </c>
      <c r="E60" t="b">
        <f t="shared" ca="1" si="1"/>
        <v>0</v>
      </c>
      <c r="F60" t="s">
        <v>2256</v>
      </c>
      <c r="G60" s="63">
        <v>45385</v>
      </c>
      <c r="J60" s="2"/>
    </row>
    <row r="61" spans="1:10">
      <c r="A61" s="5">
        <v>60</v>
      </c>
      <c r="C61" s="68">
        <v>577</v>
      </c>
      <c r="D61" s="68">
        <f t="shared" ca="1" si="0"/>
        <v>845</v>
      </c>
      <c r="E61" t="b">
        <f t="shared" ca="1" si="1"/>
        <v>0</v>
      </c>
      <c r="F61" t="s">
        <v>2256</v>
      </c>
      <c r="G61" s="63">
        <v>45386</v>
      </c>
      <c r="J61" s="2"/>
    </row>
    <row r="62" spans="1:10">
      <c r="A62" s="5">
        <v>61</v>
      </c>
      <c r="C62" s="68">
        <v>854</v>
      </c>
      <c r="D62" s="68">
        <f t="shared" ca="1" si="0"/>
        <v>759</v>
      </c>
      <c r="E62" t="b">
        <f t="shared" ca="1" si="1"/>
        <v>0</v>
      </c>
      <c r="F62" t="s">
        <v>2256</v>
      </c>
      <c r="G62" s="63">
        <v>45387</v>
      </c>
      <c r="J62" s="2"/>
    </row>
    <row r="63" spans="1:10">
      <c r="A63" s="5">
        <v>62</v>
      </c>
      <c r="C63" s="68">
        <v>531</v>
      </c>
      <c r="D63" s="68">
        <f t="shared" ca="1" si="0"/>
        <v>849</v>
      </c>
      <c r="E63" t="b">
        <f t="shared" ca="1" si="1"/>
        <v>0</v>
      </c>
      <c r="F63" t="s">
        <v>2256</v>
      </c>
      <c r="G63" s="63">
        <v>45388</v>
      </c>
      <c r="J63" s="2"/>
    </row>
    <row r="64" spans="1:10">
      <c r="A64" s="5">
        <v>63</v>
      </c>
      <c r="C64" s="68">
        <v>497</v>
      </c>
      <c r="D64" s="68">
        <f t="shared" ca="1" si="0"/>
        <v>222</v>
      </c>
      <c r="E64" t="b">
        <f t="shared" ca="1" si="1"/>
        <v>0</v>
      </c>
      <c r="F64" t="s">
        <v>2256</v>
      </c>
      <c r="G64" s="63">
        <v>45389</v>
      </c>
      <c r="J64" s="2"/>
    </row>
    <row r="65" spans="1:10">
      <c r="A65" s="5">
        <v>64</v>
      </c>
      <c r="C65" s="68">
        <v>318</v>
      </c>
      <c r="D65" s="68">
        <f t="shared" ca="1" si="0"/>
        <v>903</v>
      </c>
      <c r="E65" t="b">
        <f t="shared" ca="1" si="1"/>
        <v>0</v>
      </c>
      <c r="F65" t="s">
        <v>2257</v>
      </c>
      <c r="G65" s="63">
        <v>45390</v>
      </c>
      <c r="J65" s="2"/>
    </row>
    <row r="66" spans="1:10">
      <c r="A66" s="5">
        <v>65</v>
      </c>
      <c r="C66" s="68">
        <v>933</v>
      </c>
      <c r="D66" s="68">
        <f t="shared" ca="1" si="0"/>
        <v>494</v>
      </c>
      <c r="E66" t="b">
        <f t="shared" ca="1" si="1"/>
        <v>0</v>
      </c>
      <c r="F66" t="s">
        <v>2257</v>
      </c>
      <c r="G66" s="63">
        <v>45391</v>
      </c>
      <c r="J66" s="2"/>
    </row>
    <row r="67" spans="1:10">
      <c r="A67" s="5">
        <v>66</v>
      </c>
      <c r="C67" s="68">
        <v>578</v>
      </c>
      <c r="D67" s="68">
        <f t="shared" ref="D67:D110" ca="1" si="2">RANDBETWEEN(1,1000)</f>
        <v>877</v>
      </c>
      <c r="E67" t="b">
        <f t="shared" ref="E67:E110" ca="1" si="3">IF(C67=D67,TRUE,FALSE)</f>
        <v>0</v>
      </c>
      <c r="F67" t="s">
        <v>2257</v>
      </c>
      <c r="G67" s="63">
        <v>45392</v>
      </c>
      <c r="J67" s="2"/>
    </row>
    <row r="68" spans="1:10">
      <c r="A68" s="5">
        <v>67</v>
      </c>
      <c r="C68" s="68">
        <v>230</v>
      </c>
      <c r="D68" s="68">
        <f t="shared" ca="1" si="2"/>
        <v>214</v>
      </c>
      <c r="E68" t="b">
        <f t="shared" ca="1" si="3"/>
        <v>0</v>
      </c>
      <c r="F68" t="s">
        <v>2257</v>
      </c>
      <c r="G68" s="63">
        <v>45393</v>
      </c>
      <c r="J68" s="2"/>
    </row>
    <row r="69" spans="1:10">
      <c r="A69" s="5">
        <v>68</v>
      </c>
      <c r="C69" s="68">
        <v>799</v>
      </c>
      <c r="D69" s="68">
        <f t="shared" ca="1" si="2"/>
        <v>886</v>
      </c>
      <c r="E69" t="b">
        <f t="shared" ca="1" si="3"/>
        <v>0</v>
      </c>
      <c r="F69" t="s">
        <v>2257</v>
      </c>
      <c r="G69" s="63">
        <v>45394</v>
      </c>
      <c r="J69" s="2"/>
    </row>
    <row r="70" spans="1:10">
      <c r="A70" s="5">
        <v>69</v>
      </c>
      <c r="C70" s="68">
        <v>822</v>
      </c>
      <c r="D70" s="68">
        <f t="shared" ca="1" si="2"/>
        <v>517</v>
      </c>
      <c r="E70" t="b">
        <f t="shared" ca="1" si="3"/>
        <v>0</v>
      </c>
      <c r="F70" t="s">
        <v>2257</v>
      </c>
      <c r="G70" s="63">
        <v>45395</v>
      </c>
      <c r="J70" s="2"/>
    </row>
    <row r="71" spans="1:10">
      <c r="A71" s="5">
        <v>70</v>
      </c>
      <c r="C71" s="68">
        <v>788</v>
      </c>
      <c r="D71" s="68">
        <f t="shared" ca="1" si="2"/>
        <v>427</v>
      </c>
      <c r="E71" t="b">
        <f t="shared" ca="1" si="3"/>
        <v>0</v>
      </c>
      <c r="F71" t="s">
        <v>2257</v>
      </c>
      <c r="G71" s="63">
        <v>45396</v>
      </c>
      <c r="J71" s="2"/>
    </row>
    <row r="72" spans="1:10">
      <c r="A72" s="5">
        <v>71</v>
      </c>
      <c r="C72" s="68">
        <v>978</v>
      </c>
      <c r="D72" s="68">
        <f t="shared" ca="1" si="2"/>
        <v>694</v>
      </c>
      <c r="E72" t="b">
        <f t="shared" ca="1" si="3"/>
        <v>0</v>
      </c>
      <c r="F72" t="s">
        <v>2257</v>
      </c>
      <c r="G72" s="63">
        <v>45397</v>
      </c>
      <c r="J72" s="2"/>
    </row>
    <row r="73" spans="1:10">
      <c r="A73" s="5">
        <v>72</v>
      </c>
      <c r="C73" s="68">
        <v>374</v>
      </c>
      <c r="D73" s="68">
        <f t="shared" ca="1" si="2"/>
        <v>123</v>
      </c>
      <c r="E73" t="b">
        <f t="shared" ca="1" si="3"/>
        <v>0</v>
      </c>
      <c r="F73" t="s">
        <v>2257</v>
      </c>
      <c r="G73" s="63">
        <v>45398</v>
      </c>
      <c r="J73" s="2"/>
    </row>
    <row r="74" spans="1:10">
      <c r="A74" s="5">
        <v>73</v>
      </c>
      <c r="C74" s="68">
        <v>506</v>
      </c>
      <c r="D74" s="68">
        <f t="shared" ca="1" si="2"/>
        <v>158</v>
      </c>
      <c r="E74" t="b">
        <f t="shared" ca="1" si="3"/>
        <v>0</v>
      </c>
      <c r="F74" t="s">
        <v>2257</v>
      </c>
      <c r="G74" s="63">
        <v>45399</v>
      </c>
      <c r="J74" s="2"/>
    </row>
    <row r="75" spans="1:10">
      <c r="A75" s="5">
        <v>74</v>
      </c>
      <c r="C75" s="68">
        <v>745</v>
      </c>
      <c r="D75" s="68">
        <f t="shared" ca="1" si="2"/>
        <v>699</v>
      </c>
      <c r="E75" t="b">
        <f t="shared" ca="1" si="3"/>
        <v>0</v>
      </c>
      <c r="F75" t="s">
        <v>2257</v>
      </c>
      <c r="G75" s="63">
        <v>45400</v>
      </c>
      <c r="J75" s="2"/>
    </row>
    <row r="76" spans="1:10">
      <c r="A76" s="5">
        <v>75</v>
      </c>
      <c r="C76" s="68">
        <v>62</v>
      </c>
      <c r="D76" s="68">
        <f t="shared" ca="1" si="2"/>
        <v>653</v>
      </c>
      <c r="E76" t="b">
        <f t="shared" ca="1" si="3"/>
        <v>0</v>
      </c>
      <c r="F76" t="s">
        <v>2257</v>
      </c>
      <c r="G76" s="63">
        <v>45401</v>
      </c>
      <c r="J76" s="2"/>
    </row>
    <row r="77" spans="1:10">
      <c r="A77" s="5">
        <v>76</v>
      </c>
      <c r="C77" s="68">
        <v>222</v>
      </c>
      <c r="D77" s="68">
        <f t="shared" ca="1" si="2"/>
        <v>894</v>
      </c>
      <c r="E77" t="b">
        <f t="shared" ca="1" si="3"/>
        <v>0</v>
      </c>
      <c r="F77" t="s">
        <v>2257</v>
      </c>
      <c r="G77" s="63">
        <v>45402</v>
      </c>
      <c r="J77" s="2"/>
    </row>
    <row r="78" spans="1:10">
      <c r="A78" s="5">
        <v>77</v>
      </c>
      <c r="C78" s="68">
        <v>624</v>
      </c>
      <c r="D78" s="68">
        <f t="shared" ca="1" si="2"/>
        <v>455</v>
      </c>
      <c r="E78" t="b">
        <f t="shared" ca="1" si="3"/>
        <v>0</v>
      </c>
      <c r="F78" t="s">
        <v>2257</v>
      </c>
      <c r="G78" s="63">
        <v>45403</v>
      </c>
      <c r="J78" s="2"/>
    </row>
    <row r="79" spans="1:10">
      <c r="A79" s="5">
        <v>78</v>
      </c>
      <c r="C79" s="68">
        <v>541</v>
      </c>
      <c r="D79" s="68">
        <f t="shared" ca="1" si="2"/>
        <v>384</v>
      </c>
      <c r="E79" t="b">
        <f t="shared" ca="1" si="3"/>
        <v>0</v>
      </c>
      <c r="F79" t="s">
        <v>2257</v>
      </c>
      <c r="G79" s="63">
        <v>45404</v>
      </c>
      <c r="J79" s="2"/>
    </row>
    <row r="80" spans="1:10">
      <c r="A80" s="5">
        <v>79</v>
      </c>
      <c r="C80" s="68">
        <v>553</v>
      </c>
      <c r="D80" s="68">
        <f t="shared" ca="1" si="2"/>
        <v>148</v>
      </c>
      <c r="E80" t="b">
        <f t="shared" ca="1" si="3"/>
        <v>0</v>
      </c>
      <c r="F80" t="s">
        <v>2257</v>
      </c>
      <c r="G80" s="63">
        <v>45405</v>
      </c>
      <c r="J80" s="2"/>
    </row>
    <row r="81" spans="1:10">
      <c r="A81" s="5">
        <v>80</v>
      </c>
      <c r="C81" s="68">
        <v>491</v>
      </c>
      <c r="D81" s="68">
        <f t="shared" ca="1" si="2"/>
        <v>893</v>
      </c>
      <c r="E81" t="b">
        <f t="shared" ca="1" si="3"/>
        <v>0</v>
      </c>
      <c r="F81" t="s">
        <v>2257</v>
      </c>
      <c r="G81" s="63">
        <v>45406</v>
      </c>
      <c r="J81" s="2"/>
    </row>
    <row r="82" spans="1:10">
      <c r="A82" s="5">
        <v>81</v>
      </c>
      <c r="C82" s="68">
        <v>834</v>
      </c>
      <c r="D82" s="68">
        <f t="shared" ca="1" si="2"/>
        <v>168</v>
      </c>
      <c r="E82" t="b">
        <f t="shared" ca="1" si="3"/>
        <v>0</v>
      </c>
      <c r="F82" t="s">
        <v>2257</v>
      </c>
      <c r="G82" s="63">
        <v>45407</v>
      </c>
      <c r="J82" s="2"/>
    </row>
    <row r="83" spans="1:10">
      <c r="A83" s="5">
        <v>82</v>
      </c>
      <c r="C83" s="68">
        <v>542</v>
      </c>
      <c r="D83" s="68">
        <f t="shared" ca="1" si="2"/>
        <v>810</v>
      </c>
      <c r="E83" t="b">
        <f t="shared" ca="1" si="3"/>
        <v>0</v>
      </c>
      <c r="F83" t="s">
        <v>2257</v>
      </c>
      <c r="G83" s="63">
        <v>45408</v>
      </c>
      <c r="J83" s="2"/>
    </row>
    <row r="84" spans="1:10">
      <c r="A84" s="5">
        <v>83</v>
      </c>
      <c r="C84" s="68">
        <v>229</v>
      </c>
      <c r="D84" s="68">
        <f t="shared" ca="1" si="2"/>
        <v>262</v>
      </c>
      <c r="E84" t="b">
        <f t="shared" ca="1" si="3"/>
        <v>0</v>
      </c>
      <c r="F84" t="s">
        <v>2257</v>
      </c>
      <c r="G84" s="63">
        <v>45409</v>
      </c>
      <c r="J84" s="2"/>
    </row>
    <row r="85" spans="1:10">
      <c r="A85" s="5">
        <v>84</v>
      </c>
      <c r="C85" s="68">
        <v>109</v>
      </c>
      <c r="D85" s="68">
        <f t="shared" ca="1" si="2"/>
        <v>324</v>
      </c>
      <c r="E85" t="b">
        <f t="shared" ca="1" si="3"/>
        <v>0</v>
      </c>
      <c r="F85" t="s">
        <v>2257</v>
      </c>
      <c r="G85" s="63">
        <v>45410</v>
      </c>
      <c r="J85" s="2"/>
    </row>
    <row r="86" spans="1:10">
      <c r="A86" s="5">
        <v>85</v>
      </c>
      <c r="C86" s="68">
        <v>451</v>
      </c>
      <c r="D86" s="68">
        <f t="shared" ca="1" si="2"/>
        <v>158</v>
      </c>
      <c r="E86" t="b">
        <f t="shared" ca="1" si="3"/>
        <v>0</v>
      </c>
      <c r="F86" t="s">
        <v>2257</v>
      </c>
      <c r="G86" s="63">
        <v>45411</v>
      </c>
      <c r="J86" s="2"/>
    </row>
    <row r="87" spans="1:10">
      <c r="A87" s="5">
        <v>86</v>
      </c>
      <c r="C87" s="68">
        <v>87</v>
      </c>
      <c r="D87" s="68">
        <f t="shared" ca="1" si="2"/>
        <v>230</v>
      </c>
      <c r="E87" t="b">
        <f t="shared" ca="1" si="3"/>
        <v>0</v>
      </c>
      <c r="F87" t="s">
        <v>2257</v>
      </c>
      <c r="G87" s="63">
        <v>45412</v>
      </c>
      <c r="J87" s="2"/>
    </row>
    <row r="88" spans="1:10">
      <c r="A88" s="5">
        <v>87</v>
      </c>
      <c r="C88" s="68">
        <v>69</v>
      </c>
      <c r="D88" s="68">
        <f t="shared" ca="1" si="2"/>
        <v>465</v>
      </c>
      <c r="E88" t="b">
        <f t="shared" ca="1" si="3"/>
        <v>0</v>
      </c>
      <c r="F88" t="s">
        <v>2257</v>
      </c>
      <c r="G88" s="63">
        <v>45413</v>
      </c>
      <c r="J88" s="2"/>
    </row>
    <row r="89" spans="1:10">
      <c r="A89" s="5">
        <v>88</v>
      </c>
      <c r="C89" s="68">
        <v>224</v>
      </c>
      <c r="D89" s="68">
        <f t="shared" ca="1" si="2"/>
        <v>493</v>
      </c>
      <c r="E89" t="b">
        <f t="shared" ca="1" si="3"/>
        <v>0</v>
      </c>
      <c r="F89" t="s">
        <v>2257</v>
      </c>
      <c r="G89" s="63">
        <v>45414</v>
      </c>
      <c r="J89" s="2"/>
    </row>
    <row r="90" spans="1:10">
      <c r="A90" s="5">
        <v>89</v>
      </c>
      <c r="C90" s="68">
        <v>768</v>
      </c>
      <c r="D90" s="68">
        <f t="shared" ca="1" si="2"/>
        <v>724</v>
      </c>
      <c r="E90" t="b">
        <f t="shared" ca="1" si="3"/>
        <v>0</v>
      </c>
      <c r="F90" t="s">
        <v>2257</v>
      </c>
      <c r="G90" s="63">
        <v>45415</v>
      </c>
      <c r="J90" s="2"/>
    </row>
    <row r="91" spans="1:10">
      <c r="A91" s="5">
        <v>90</v>
      </c>
      <c r="C91" s="68">
        <v>302</v>
      </c>
      <c r="D91" s="68">
        <f t="shared" ca="1" si="2"/>
        <v>73</v>
      </c>
      <c r="E91" t="b">
        <f t="shared" ca="1" si="3"/>
        <v>0</v>
      </c>
      <c r="F91" t="s">
        <v>2257</v>
      </c>
      <c r="G91" s="63">
        <v>45416</v>
      </c>
      <c r="J91" s="2"/>
    </row>
    <row r="92" spans="1:10">
      <c r="A92" s="5">
        <v>91</v>
      </c>
      <c r="C92" s="68">
        <v>504</v>
      </c>
      <c r="D92" s="68">
        <f t="shared" ca="1" si="2"/>
        <v>298</v>
      </c>
      <c r="E92" t="b">
        <f t="shared" ca="1" si="3"/>
        <v>0</v>
      </c>
      <c r="F92" t="s">
        <v>2257</v>
      </c>
      <c r="G92" s="63">
        <v>45417</v>
      </c>
      <c r="J92" s="2"/>
    </row>
    <row r="93" spans="1:10">
      <c r="A93" s="5">
        <v>92</v>
      </c>
      <c r="C93" s="68">
        <v>507</v>
      </c>
      <c r="D93" s="68">
        <f t="shared" ca="1" si="2"/>
        <v>491</v>
      </c>
      <c r="E93" t="b">
        <f t="shared" ca="1" si="3"/>
        <v>0</v>
      </c>
      <c r="F93" t="s">
        <v>2257</v>
      </c>
      <c r="G93" s="63">
        <v>45418</v>
      </c>
      <c r="J93" s="2"/>
    </row>
    <row r="94" spans="1:10">
      <c r="A94" s="5">
        <v>93</v>
      </c>
      <c r="C94" s="68">
        <v>436</v>
      </c>
      <c r="D94" s="68">
        <f t="shared" ca="1" si="2"/>
        <v>5</v>
      </c>
      <c r="E94" t="b">
        <f t="shared" ca="1" si="3"/>
        <v>0</v>
      </c>
      <c r="F94" t="s">
        <v>2257</v>
      </c>
      <c r="G94" s="63">
        <v>45419</v>
      </c>
      <c r="J94" s="2"/>
    </row>
    <row r="95" spans="1:10">
      <c r="A95" s="5">
        <v>94</v>
      </c>
      <c r="C95" s="68">
        <v>443</v>
      </c>
      <c r="D95" s="68">
        <f t="shared" ca="1" si="2"/>
        <v>657</v>
      </c>
      <c r="E95" t="b">
        <f t="shared" ca="1" si="3"/>
        <v>0</v>
      </c>
      <c r="F95" t="s">
        <v>2257</v>
      </c>
      <c r="G95" s="63">
        <v>45420</v>
      </c>
      <c r="J95" s="2"/>
    </row>
    <row r="96" spans="1:10">
      <c r="A96" s="5">
        <v>95</v>
      </c>
      <c r="C96" s="68">
        <v>924</v>
      </c>
      <c r="D96" s="68">
        <f t="shared" ca="1" si="2"/>
        <v>289</v>
      </c>
      <c r="E96" t="b">
        <f t="shared" ca="1" si="3"/>
        <v>0</v>
      </c>
      <c r="F96" t="s">
        <v>2257</v>
      </c>
      <c r="G96" s="63">
        <v>45421</v>
      </c>
      <c r="J96" s="2"/>
    </row>
    <row r="97" spans="1:10">
      <c r="A97" s="5">
        <v>96</v>
      </c>
      <c r="C97" s="68">
        <v>704</v>
      </c>
      <c r="D97" s="68">
        <f t="shared" ca="1" si="2"/>
        <v>838</v>
      </c>
      <c r="E97" t="b">
        <f t="shared" ca="1" si="3"/>
        <v>0</v>
      </c>
      <c r="F97" t="s">
        <v>2257</v>
      </c>
      <c r="G97" s="63">
        <v>45422</v>
      </c>
      <c r="J97" s="2"/>
    </row>
    <row r="98" spans="1:10">
      <c r="A98" s="5">
        <v>97</v>
      </c>
      <c r="C98" s="68">
        <v>390</v>
      </c>
      <c r="D98" s="68">
        <f t="shared" ca="1" si="2"/>
        <v>799</v>
      </c>
      <c r="E98" t="b">
        <f t="shared" ca="1" si="3"/>
        <v>0</v>
      </c>
      <c r="F98" t="s">
        <v>2257</v>
      </c>
      <c r="G98" s="63">
        <v>45423</v>
      </c>
      <c r="J98" s="2"/>
    </row>
    <row r="99" spans="1:10">
      <c r="A99" s="5">
        <v>98</v>
      </c>
      <c r="C99" s="68">
        <v>7</v>
      </c>
      <c r="D99" s="68">
        <f t="shared" ca="1" si="2"/>
        <v>468</v>
      </c>
      <c r="E99" t="b">
        <f t="shared" ca="1" si="3"/>
        <v>0</v>
      </c>
      <c r="F99" t="s">
        <v>2257</v>
      </c>
      <c r="G99" s="63">
        <v>45424</v>
      </c>
      <c r="J99" s="2"/>
    </row>
    <row r="100" spans="1:10">
      <c r="A100" s="5">
        <v>99</v>
      </c>
      <c r="C100" s="68">
        <v>298</v>
      </c>
      <c r="D100" s="68">
        <f t="shared" ca="1" si="2"/>
        <v>635</v>
      </c>
      <c r="E100" t="b">
        <f t="shared" ca="1" si="3"/>
        <v>0</v>
      </c>
      <c r="F100" t="s">
        <v>2257</v>
      </c>
      <c r="G100" s="63">
        <v>45425</v>
      </c>
      <c r="J100" s="2"/>
    </row>
    <row r="101" spans="1:10">
      <c r="A101" s="5">
        <v>100</v>
      </c>
      <c r="C101" s="68">
        <v>113</v>
      </c>
      <c r="D101" s="68">
        <f t="shared" ca="1" si="2"/>
        <v>602</v>
      </c>
      <c r="E101" t="b">
        <f t="shared" ca="1" si="3"/>
        <v>0</v>
      </c>
      <c r="F101" t="s">
        <v>2257</v>
      </c>
      <c r="G101" s="63">
        <v>45426</v>
      </c>
      <c r="J101" s="2"/>
    </row>
    <row r="102" spans="1:10">
      <c r="A102" s="5">
        <v>101</v>
      </c>
      <c r="C102" s="68">
        <v>935</v>
      </c>
      <c r="D102" s="68">
        <f t="shared" ca="1" si="2"/>
        <v>790</v>
      </c>
      <c r="E102" t="b">
        <f t="shared" ca="1" si="3"/>
        <v>0</v>
      </c>
      <c r="F102" t="s">
        <v>2257</v>
      </c>
      <c r="G102" s="63">
        <v>45427</v>
      </c>
      <c r="J102" s="2"/>
    </row>
    <row r="103" spans="1:10">
      <c r="A103" s="5">
        <v>102</v>
      </c>
      <c r="C103" s="68">
        <v>706</v>
      </c>
      <c r="D103" s="68">
        <f t="shared" ca="1" si="2"/>
        <v>306</v>
      </c>
      <c r="E103" t="b">
        <f t="shared" ca="1" si="3"/>
        <v>0</v>
      </c>
      <c r="F103" t="s">
        <v>2257</v>
      </c>
      <c r="G103" s="63">
        <v>45428</v>
      </c>
      <c r="J103" s="2"/>
    </row>
    <row r="104" spans="1:10">
      <c r="A104" s="5">
        <v>103</v>
      </c>
      <c r="C104" s="68">
        <v>799</v>
      </c>
      <c r="D104" s="68">
        <f t="shared" ca="1" si="2"/>
        <v>556</v>
      </c>
      <c r="E104" t="b">
        <f t="shared" ca="1" si="3"/>
        <v>0</v>
      </c>
      <c r="F104" t="s">
        <v>2257</v>
      </c>
      <c r="G104" s="63">
        <v>45429</v>
      </c>
      <c r="J104" s="2"/>
    </row>
    <row r="105" spans="1:10">
      <c r="A105" s="5">
        <v>104</v>
      </c>
      <c r="C105" s="68">
        <v>886</v>
      </c>
      <c r="D105" s="68">
        <f t="shared" ca="1" si="2"/>
        <v>834</v>
      </c>
      <c r="E105" t="b">
        <f t="shared" ca="1" si="3"/>
        <v>0</v>
      </c>
      <c r="F105" t="s">
        <v>2257</v>
      </c>
      <c r="G105" s="63">
        <v>45430</v>
      </c>
      <c r="J105" s="2"/>
    </row>
    <row r="106" spans="1:10">
      <c r="A106" s="5">
        <v>105</v>
      </c>
      <c r="C106" s="68">
        <v>13</v>
      </c>
      <c r="D106" s="68">
        <f t="shared" ca="1" si="2"/>
        <v>29</v>
      </c>
      <c r="E106" t="b">
        <f t="shared" ca="1" si="3"/>
        <v>0</v>
      </c>
      <c r="F106" t="s">
        <v>2257</v>
      </c>
      <c r="G106" s="63">
        <v>45431</v>
      </c>
      <c r="J106" s="2"/>
    </row>
    <row r="107" spans="1:10">
      <c r="A107" s="5">
        <v>106</v>
      </c>
      <c r="C107" s="68">
        <v>277</v>
      </c>
      <c r="D107" s="68">
        <f t="shared" ca="1" si="2"/>
        <v>62</v>
      </c>
      <c r="E107" t="b">
        <f t="shared" ca="1" si="3"/>
        <v>0</v>
      </c>
      <c r="F107" t="s">
        <v>2257</v>
      </c>
      <c r="G107" s="63">
        <v>45432</v>
      </c>
      <c r="J107" s="2"/>
    </row>
    <row r="108" spans="1:10">
      <c r="A108" s="5">
        <v>107</v>
      </c>
      <c r="C108" s="68">
        <v>490</v>
      </c>
      <c r="D108" s="68">
        <f t="shared" ca="1" si="2"/>
        <v>232</v>
      </c>
      <c r="E108" t="b">
        <f t="shared" ca="1" si="3"/>
        <v>0</v>
      </c>
      <c r="F108" t="s">
        <v>2257</v>
      </c>
      <c r="G108" s="63">
        <v>45433</v>
      </c>
      <c r="J108" s="2"/>
    </row>
    <row r="109" spans="1:10">
      <c r="A109" s="5">
        <v>108</v>
      </c>
      <c r="C109" s="68">
        <v>621</v>
      </c>
      <c r="D109" s="68">
        <f t="shared" ca="1" si="2"/>
        <v>184</v>
      </c>
      <c r="E109" t="b">
        <f t="shared" ca="1" si="3"/>
        <v>0</v>
      </c>
      <c r="F109" t="s">
        <v>2257</v>
      </c>
      <c r="G109" s="63">
        <v>45434</v>
      </c>
      <c r="J109" s="2"/>
    </row>
    <row r="110" spans="1:10">
      <c r="A110" s="5">
        <v>109</v>
      </c>
      <c r="C110" s="68">
        <v>917</v>
      </c>
      <c r="D110" s="68">
        <f t="shared" ca="1" si="2"/>
        <v>888</v>
      </c>
      <c r="E110" t="b">
        <f t="shared" ca="1" si="3"/>
        <v>0</v>
      </c>
      <c r="F110" t="s">
        <v>2257</v>
      </c>
      <c r="G110" s="63">
        <v>45435</v>
      </c>
      <c r="J110" s="2"/>
    </row>
  </sheetData>
  <autoFilter ref="A1:G110" xr:uid="{00000000-0001-0000-1D00-000000000000}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A449D-C749-475E-827D-4D56DCEA5407}">
  <dimension ref="A2:M115"/>
  <sheetViews>
    <sheetView workbookViewId="0"/>
  </sheetViews>
  <sheetFormatPr defaultColWidth="9" defaultRowHeight="14.4"/>
  <cols>
    <col min="1" max="1" width="10.44140625" style="5" bestFit="1" customWidth="1"/>
    <col min="2" max="2" width="17.44140625" style="5" bestFit="1" customWidth="1"/>
    <col min="3" max="4" width="14.33203125" customWidth="1"/>
    <col min="5" max="5" width="15.44140625" style="5" bestFit="1" customWidth="1"/>
    <col min="6" max="6" width="19" style="5" bestFit="1" customWidth="1"/>
    <col min="7" max="7" width="17.6640625" style="5" bestFit="1" customWidth="1"/>
    <col min="8" max="8" width="19.44140625" style="5" bestFit="1" customWidth="1"/>
    <col min="9" max="9" width="19.6640625" style="5" bestFit="1" customWidth="1"/>
    <col min="10" max="10" width="20.6640625" style="5" bestFit="1" customWidth="1"/>
    <col min="11" max="11" width="20.6640625" style="5" customWidth="1"/>
    <col min="12" max="12" width="16.109375" style="5" bestFit="1" customWidth="1"/>
    <col min="13" max="13" width="18.44140625" style="5" bestFit="1" customWidth="1"/>
    <col min="14" max="14" width="9.33203125" customWidth="1"/>
  </cols>
  <sheetData>
    <row r="2" spans="1:13">
      <c r="I2" s="66">
        <v>0.05</v>
      </c>
      <c r="J2" s="66">
        <v>0.1</v>
      </c>
      <c r="L2" s="66">
        <v>0.08</v>
      </c>
    </row>
    <row r="4" spans="1:13">
      <c r="A4" s="11" t="s">
        <v>2260</v>
      </c>
      <c r="B4" s="74" t="s">
        <v>136</v>
      </c>
      <c r="C4" s="11" t="s">
        <v>2262</v>
      </c>
      <c r="D4" s="11" t="s">
        <v>2268</v>
      </c>
      <c r="E4" s="11" t="s">
        <v>2263</v>
      </c>
      <c r="F4" s="11" t="s">
        <v>2266</v>
      </c>
      <c r="G4" s="11" t="s">
        <v>2267</v>
      </c>
      <c r="H4" s="11" t="s">
        <v>2092</v>
      </c>
      <c r="I4" s="11" t="s">
        <v>2093</v>
      </c>
      <c r="J4" s="62" t="s">
        <v>2247</v>
      </c>
      <c r="K4" s="11" t="s">
        <v>2259</v>
      </c>
      <c r="L4" s="11" t="s">
        <v>2265</v>
      </c>
      <c r="M4" s="11" t="s">
        <v>2261</v>
      </c>
    </row>
    <row r="5" spans="1:13">
      <c r="A5" s="5">
        <v>1</v>
      </c>
      <c r="B5" s="5">
        <v>1</v>
      </c>
      <c r="C5" s="60">
        <v>45327</v>
      </c>
      <c r="D5" s="67">
        <v>0.33333333333333331</v>
      </c>
      <c r="E5" s="5" t="s">
        <v>2264</v>
      </c>
      <c r="F5" s="64">
        <v>26.701017233949901</v>
      </c>
      <c r="G5" s="65"/>
      <c r="H5" s="64"/>
      <c r="I5" s="64">
        <f>(F5+G5+H5)*$I$2</f>
        <v>1.3350508616974952</v>
      </c>
      <c r="J5" s="64"/>
      <c r="K5" s="64">
        <f>SUM(F5:J5)</f>
        <v>28.036068095647398</v>
      </c>
      <c r="L5" s="64">
        <f>K5*$L$2</f>
        <v>2.2428854476517919</v>
      </c>
      <c r="M5" s="64">
        <f>K5+L5</f>
        <v>30.278953543299188</v>
      </c>
    </row>
    <row r="6" spans="1:13">
      <c r="A6" s="5">
        <v>2</v>
      </c>
      <c r="B6" s="5">
        <v>1</v>
      </c>
      <c r="C6" s="60">
        <v>45328</v>
      </c>
      <c r="D6" s="67">
        <v>0.375</v>
      </c>
      <c r="E6" s="5" t="s">
        <v>2264</v>
      </c>
      <c r="F6" s="64">
        <v>33.557306988721997</v>
      </c>
      <c r="G6" s="65">
        <v>15.8480989461512</v>
      </c>
      <c r="H6" s="64"/>
      <c r="I6" s="64">
        <f t="shared" ref="I6:I19" si="0">(F6+G6+H6)*$I$2</f>
        <v>2.4702702967436601</v>
      </c>
      <c r="J6" s="64"/>
      <c r="K6" s="64">
        <f t="shared" ref="K6:K69" si="1">SUM(F6:J6)</f>
        <v>51.875676231616865</v>
      </c>
      <c r="L6" s="64">
        <f t="shared" ref="L6:L69" si="2">K6*$L$2</f>
        <v>4.150054098529349</v>
      </c>
      <c r="M6" s="64">
        <f t="shared" ref="M6:M69" si="3">K6+L6</f>
        <v>56.025730330146217</v>
      </c>
    </row>
    <row r="7" spans="1:13">
      <c r="A7" s="5">
        <v>3</v>
      </c>
      <c r="B7" s="5">
        <v>1</v>
      </c>
      <c r="C7" s="60">
        <v>45329</v>
      </c>
      <c r="D7" s="67">
        <v>0.41666666666666702</v>
      </c>
      <c r="E7" s="5" t="s">
        <v>2264</v>
      </c>
      <c r="F7" s="64">
        <v>26.884252371775201</v>
      </c>
      <c r="G7" s="65">
        <v>34.816178962781301</v>
      </c>
      <c r="H7" s="64"/>
      <c r="I7" s="64">
        <f t="shared" si="0"/>
        <v>3.0850215667278249</v>
      </c>
      <c r="J7" s="64"/>
      <c r="K7" s="64">
        <f t="shared" si="1"/>
        <v>64.785452901284316</v>
      </c>
      <c r="L7" s="64">
        <f t="shared" si="2"/>
        <v>5.182836232102745</v>
      </c>
      <c r="M7" s="64">
        <f t="shared" si="3"/>
        <v>69.96828913338706</v>
      </c>
    </row>
    <row r="8" spans="1:13">
      <c r="A8" s="5">
        <v>4</v>
      </c>
      <c r="B8" s="5">
        <v>1</v>
      </c>
      <c r="C8" s="60">
        <v>45330</v>
      </c>
      <c r="D8" s="67">
        <v>0.75</v>
      </c>
      <c r="E8" s="5" t="s">
        <v>2264</v>
      </c>
      <c r="F8" s="64">
        <v>11.176480522889401</v>
      </c>
      <c r="G8" s="65">
        <v>59.668779306338102</v>
      </c>
      <c r="H8" s="64"/>
      <c r="I8" s="64">
        <f t="shared" si="0"/>
        <v>3.5422629914613752</v>
      </c>
      <c r="J8" s="64"/>
      <c r="K8" s="64">
        <f t="shared" si="1"/>
        <v>74.387522820688872</v>
      </c>
      <c r="L8" s="64">
        <f t="shared" si="2"/>
        <v>5.9510018256551103</v>
      </c>
      <c r="M8" s="64">
        <f t="shared" si="3"/>
        <v>80.338524646343984</v>
      </c>
    </row>
    <row r="9" spans="1:13">
      <c r="A9" s="5">
        <v>5</v>
      </c>
      <c r="B9" s="5">
        <v>1</v>
      </c>
      <c r="C9" s="60">
        <v>45331</v>
      </c>
      <c r="D9" s="67">
        <v>0.79166666666666696</v>
      </c>
      <c r="E9" s="5" t="s">
        <v>2264</v>
      </c>
      <c r="F9" s="64">
        <v>18.6367171806092</v>
      </c>
      <c r="G9" s="65">
        <v>46.4029706735273</v>
      </c>
      <c r="H9" s="64"/>
      <c r="I9" s="64">
        <f t="shared" si="0"/>
        <v>3.2519843927068255</v>
      </c>
      <c r="J9" s="64"/>
      <c r="K9" s="64">
        <f t="shared" si="1"/>
        <v>68.291672246843333</v>
      </c>
      <c r="L9" s="64">
        <f t="shared" si="2"/>
        <v>5.463333779747467</v>
      </c>
      <c r="M9" s="64">
        <f t="shared" si="3"/>
        <v>73.755006026590806</v>
      </c>
    </row>
    <row r="10" spans="1:13">
      <c r="A10" s="5">
        <v>6</v>
      </c>
      <c r="B10" s="5">
        <v>2</v>
      </c>
      <c r="C10" s="60">
        <v>45332</v>
      </c>
      <c r="D10" s="67">
        <v>0.83333333333333304</v>
      </c>
      <c r="E10" s="5" t="s">
        <v>2264</v>
      </c>
      <c r="F10" s="64">
        <v>47.110127202840999</v>
      </c>
      <c r="G10" s="65">
        <v>55.074448605312703</v>
      </c>
      <c r="H10" s="64"/>
      <c r="I10" s="64">
        <f t="shared" si="0"/>
        <v>5.1092287904076858</v>
      </c>
      <c r="J10" s="64"/>
      <c r="K10" s="64">
        <f t="shared" si="1"/>
        <v>107.29380459856139</v>
      </c>
      <c r="L10" s="64">
        <f t="shared" si="2"/>
        <v>8.5835043678849114</v>
      </c>
      <c r="M10" s="64">
        <f t="shared" si="3"/>
        <v>115.87730896644631</v>
      </c>
    </row>
    <row r="11" spans="1:13">
      <c r="A11" s="5">
        <v>7</v>
      </c>
      <c r="B11" s="5">
        <v>2</v>
      </c>
      <c r="C11" s="60">
        <v>45333</v>
      </c>
      <c r="D11" s="67">
        <v>0.875</v>
      </c>
      <c r="E11" s="5" t="s">
        <v>2264</v>
      </c>
      <c r="F11" s="64">
        <v>25.348033888050299</v>
      </c>
      <c r="G11" s="65">
        <v>49.207447460733299</v>
      </c>
      <c r="H11" s="64"/>
      <c r="I11" s="64">
        <f t="shared" si="0"/>
        <v>3.7277740674391802</v>
      </c>
      <c r="J11" s="64"/>
      <c r="K11" s="64">
        <f t="shared" si="1"/>
        <v>78.283255416222786</v>
      </c>
      <c r="L11" s="64">
        <f t="shared" si="2"/>
        <v>6.2626604332978228</v>
      </c>
      <c r="M11" s="64">
        <f t="shared" si="3"/>
        <v>84.545915849520611</v>
      </c>
    </row>
    <row r="12" spans="1:13">
      <c r="A12" s="5">
        <v>8</v>
      </c>
      <c r="B12" s="5">
        <v>2</v>
      </c>
      <c r="C12" s="60">
        <v>45334</v>
      </c>
      <c r="D12" s="67">
        <v>0.91666666666666696</v>
      </c>
      <c r="E12" s="5" t="s">
        <v>2264</v>
      </c>
      <c r="F12" s="64">
        <v>25.912990556154</v>
      </c>
      <c r="G12" s="65">
        <v>42.165651231909798</v>
      </c>
      <c r="H12" s="64"/>
      <c r="I12" s="64">
        <f t="shared" si="0"/>
        <v>3.4039320894031904</v>
      </c>
      <c r="J12" s="64"/>
      <c r="K12" s="64">
        <f t="shared" si="1"/>
        <v>71.48257387746699</v>
      </c>
      <c r="L12" s="64">
        <f t="shared" si="2"/>
        <v>5.7186059101973594</v>
      </c>
      <c r="M12" s="64">
        <f t="shared" si="3"/>
        <v>77.201179787664344</v>
      </c>
    </row>
    <row r="13" spans="1:13">
      <c r="A13" s="5">
        <v>9</v>
      </c>
      <c r="B13" s="5">
        <v>2</v>
      </c>
      <c r="C13" s="60">
        <v>45335</v>
      </c>
      <c r="D13" s="67">
        <v>0.83333333333333304</v>
      </c>
      <c r="E13" s="5" t="s">
        <v>2264</v>
      </c>
      <c r="F13" s="64">
        <v>42.636862841714603</v>
      </c>
      <c r="G13" s="65">
        <v>12.710066783258</v>
      </c>
      <c r="H13" s="64"/>
      <c r="I13" s="64">
        <f t="shared" si="0"/>
        <v>2.7673464812486301</v>
      </c>
      <c r="J13" s="64"/>
      <c r="K13" s="64">
        <f t="shared" si="1"/>
        <v>58.114276106221233</v>
      </c>
      <c r="L13" s="64">
        <f t="shared" si="2"/>
        <v>4.6491420884976984</v>
      </c>
      <c r="M13" s="64">
        <f t="shared" si="3"/>
        <v>62.76341819471893</v>
      </c>
    </row>
    <row r="14" spans="1:13">
      <c r="A14" s="5">
        <v>10</v>
      </c>
      <c r="B14" s="5">
        <v>1</v>
      </c>
      <c r="C14" s="60">
        <v>45336</v>
      </c>
      <c r="D14" s="67">
        <v>0.8125</v>
      </c>
      <c r="E14" s="5" t="s">
        <v>2264</v>
      </c>
      <c r="F14" s="64">
        <v>15.7906268079253</v>
      </c>
      <c r="G14" s="65">
        <v>62.495791858316302</v>
      </c>
      <c r="H14" s="64"/>
      <c r="I14" s="64">
        <f t="shared" si="0"/>
        <v>3.9143209333120801</v>
      </c>
      <c r="J14" s="64"/>
      <c r="K14" s="64">
        <f t="shared" si="1"/>
        <v>82.200739599553685</v>
      </c>
      <c r="L14" s="64">
        <f t="shared" si="2"/>
        <v>6.5760591679642948</v>
      </c>
      <c r="M14" s="64">
        <f t="shared" si="3"/>
        <v>88.776798767517974</v>
      </c>
    </row>
    <row r="15" spans="1:13">
      <c r="A15" s="5">
        <v>11</v>
      </c>
      <c r="B15" s="5">
        <v>1</v>
      </c>
      <c r="C15" s="60">
        <v>45337</v>
      </c>
      <c r="D15" s="67">
        <v>0.45833333333333331</v>
      </c>
      <c r="E15" s="5" t="s">
        <v>2264</v>
      </c>
      <c r="F15" s="64">
        <v>12.5376239827033</v>
      </c>
      <c r="G15" s="65">
        <v>42.464015596729404</v>
      </c>
      <c r="H15" s="64">
        <v>14.0084390996486</v>
      </c>
      <c r="I15" s="64">
        <f t="shared" si="0"/>
        <v>3.4505039339540655</v>
      </c>
      <c r="J15" s="64"/>
      <c r="K15" s="64">
        <f t="shared" si="1"/>
        <v>72.460582613035371</v>
      </c>
      <c r="L15" s="64">
        <f t="shared" si="2"/>
        <v>5.7968466090428299</v>
      </c>
      <c r="M15" s="64">
        <f t="shared" si="3"/>
        <v>78.257429222078201</v>
      </c>
    </row>
    <row r="16" spans="1:13">
      <c r="A16" s="5">
        <v>12</v>
      </c>
      <c r="B16" s="5">
        <v>1</v>
      </c>
      <c r="C16" s="60">
        <v>45338</v>
      </c>
      <c r="D16" s="60"/>
      <c r="E16" s="5" t="s">
        <v>2264</v>
      </c>
      <c r="F16" s="64">
        <v>34.590915714572802</v>
      </c>
      <c r="G16" s="65">
        <v>57.889052343556799</v>
      </c>
      <c r="H16" s="64">
        <v>29.433147954480599</v>
      </c>
      <c r="I16" s="64">
        <f t="shared" si="0"/>
        <v>6.0956558006305102</v>
      </c>
      <c r="J16" s="64"/>
      <c r="K16" s="64">
        <f t="shared" si="1"/>
        <v>128.00877181324071</v>
      </c>
      <c r="L16" s="64">
        <f t="shared" si="2"/>
        <v>10.240701745059257</v>
      </c>
      <c r="M16" s="64">
        <f t="shared" si="3"/>
        <v>138.24947355829997</v>
      </c>
    </row>
    <row r="17" spans="1:13">
      <c r="A17" s="5">
        <v>13</v>
      </c>
      <c r="B17" s="5">
        <v>2</v>
      </c>
      <c r="C17" s="60">
        <v>45339</v>
      </c>
      <c r="D17" s="67">
        <v>0.875</v>
      </c>
      <c r="E17" s="5" t="s">
        <v>2264</v>
      </c>
      <c r="F17" s="64">
        <v>26.6113040873513</v>
      </c>
      <c r="G17" s="65"/>
      <c r="H17" s="64">
        <v>27.606714242914698</v>
      </c>
      <c r="I17" s="64">
        <f t="shared" si="0"/>
        <v>2.7109009165133</v>
      </c>
      <c r="J17" s="64"/>
      <c r="K17" s="64">
        <f t="shared" si="1"/>
        <v>56.928919246779301</v>
      </c>
      <c r="L17" s="64">
        <f t="shared" si="2"/>
        <v>4.5543135397423447</v>
      </c>
      <c r="M17" s="64">
        <f t="shared" si="3"/>
        <v>61.483232786521647</v>
      </c>
    </row>
    <row r="18" spans="1:13">
      <c r="A18" s="5">
        <v>14</v>
      </c>
      <c r="B18" s="5">
        <v>2</v>
      </c>
      <c r="C18" s="60">
        <v>45340</v>
      </c>
      <c r="D18" s="67">
        <v>0.91666666666666696</v>
      </c>
      <c r="E18" s="5" t="s">
        <v>2264</v>
      </c>
      <c r="F18" s="64">
        <v>12.466821685227201</v>
      </c>
      <c r="G18" s="65"/>
      <c r="H18" s="64">
        <v>11.844065522903801</v>
      </c>
      <c r="I18" s="64">
        <f t="shared" si="0"/>
        <v>1.2155443604065501</v>
      </c>
      <c r="J18" s="64"/>
      <c r="K18" s="64">
        <f t="shared" si="1"/>
        <v>25.52643156853755</v>
      </c>
      <c r="L18" s="64">
        <f t="shared" si="2"/>
        <v>2.042114525483004</v>
      </c>
      <c r="M18" s="64">
        <f t="shared" si="3"/>
        <v>27.568546094020554</v>
      </c>
    </row>
    <row r="19" spans="1:13">
      <c r="A19" s="5">
        <v>15</v>
      </c>
      <c r="B19" s="5">
        <v>2</v>
      </c>
      <c r="C19" s="60">
        <v>45341</v>
      </c>
      <c r="D19" s="67">
        <v>0.83333333333333304</v>
      </c>
      <c r="E19" s="5" t="s">
        <v>2264</v>
      </c>
      <c r="F19" s="64">
        <v>35.864288912044501</v>
      </c>
      <c r="G19" s="65"/>
      <c r="H19" s="64">
        <v>16.123557734690898</v>
      </c>
      <c r="I19" s="64">
        <f t="shared" si="0"/>
        <v>2.59939233233677</v>
      </c>
      <c r="J19" s="64"/>
      <c r="K19" s="64">
        <f t="shared" si="1"/>
        <v>54.587238979072168</v>
      </c>
      <c r="L19" s="64">
        <f t="shared" si="2"/>
        <v>4.3669791183257738</v>
      </c>
      <c r="M19" s="64">
        <f t="shared" si="3"/>
        <v>58.954218097397941</v>
      </c>
    </row>
    <row r="20" spans="1:13">
      <c r="A20" s="5">
        <v>16</v>
      </c>
      <c r="B20" s="5">
        <v>2</v>
      </c>
      <c r="C20" s="60">
        <v>45342</v>
      </c>
      <c r="D20" s="67">
        <v>0.8125</v>
      </c>
      <c r="E20" s="75" t="s">
        <v>2271</v>
      </c>
      <c r="F20" s="64">
        <v>35.932031095791601</v>
      </c>
      <c r="G20" s="65">
        <v>47.659016000716598</v>
      </c>
      <c r="H20" s="64"/>
      <c r="I20" s="64"/>
      <c r="J20" s="64">
        <f>(F20+G20+H20)*$J$2</f>
        <v>8.3591047096508202</v>
      </c>
      <c r="K20" s="64">
        <f t="shared" si="1"/>
        <v>91.950151806159013</v>
      </c>
      <c r="L20" s="64">
        <f t="shared" si="2"/>
        <v>7.3560121444927216</v>
      </c>
      <c r="M20" s="64">
        <f t="shared" si="3"/>
        <v>99.306163950651737</v>
      </c>
    </row>
    <row r="21" spans="1:13">
      <c r="A21" s="5">
        <v>17</v>
      </c>
      <c r="B21" s="5">
        <v>2</v>
      </c>
      <c r="C21" s="60">
        <v>45343</v>
      </c>
      <c r="D21" s="67">
        <v>0.45833333333333331</v>
      </c>
      <c r="E21" s="75" t="s">
        <v>2271</v>
      </c>
      <c r="F21" s="64">
        <v>20.466047475412701</v>
      </c>
      <c r="G21" s="65">
        <v>38.1043694742228</v>
      </c>
      <c r="H21" s="64"/>
      <c r="I21" s="64"/>
      <c r="J21" s="64">
        <f t="shared" ref="J21:J36" si="4">(F21+G21+H21)*$J$2</f>
        <v>5.8570416949635504</v>
      </c>
      <c r="K21" s="64">
        <f t="shared" si="1"/>
        <v>64.427458644599056</v>
      </c>
      <c r="L21" s="64">
        <f t="shared" si="2"/>
        <v>5.1541966915679245</v>
      </c>
      <c r="M21" s="64">
        <f t="shared" si="3"/>
        <v>69.581655336166975</v>
      </c>
    </row>
    <row r="22" spans="1:13">
      <c r="A22" s="5">
        <v>18</v>
      </c>
      <c r="B22" s="5">
        <v>2</v>
      </c>
      <c r="C22" s="60">
        <v>45344</v>
      </c>
      <c r="D22" s="60"/>
      <c r="E22" s="75" t="s">
        <v>2271</v>
      </c>
      <c r="F22" s="64">
        <v>7.9738944641792999</v>
      </c>
      <c r="G22" s="65">
        <v>8.8709320262858693</v>
      </c>
      <c r="H22" s="64"/>
      <c r="I22" s="64"/>
      <c r="J22" s="64">
        <f t="shared" si="4"/>
        <v>1.684482649046517</v>
      </c>
      <c r="K22" s="64">
        <f t="shared" si="1"/>
        <v>18.529309139511689</v>
      </c>
      <c r="L22" s="64">
        <f t="shared" si="2"/>
        <v>1.4823447311609352</v>
      </c>
      <c r="M22" s="64">
        <f t="shared" si="3"/>
        <v>20.011653870672625</v>
      </c>
    </row>
    <row r="23" spans="1:13">
      <c r="A23" s="5">
        <v>19</v>
      </c>
      <c r="B23" s="5">
        <v>1</v>
      </c>
      <c r="C23" s="60">
        <v>45345</v>
      </c>
      <c r="D23" s="67">
        <v>0.875</v>
      </c>
      <c r="E23" s="75" t="s">
        <v>2271</v>
      </c>
      <c r="F23" s="64">
        <v>46.440400823917699</v>
      </c>
      <c r="G23" s="65">
        <v>58.409502741911801</v>
      </c>
      <c r="H23" s="64"/>
      <c r="I23" s="64"/>
      <c r="J23" s="64">
        <f t="shared" si="4"/>
        <v>10.48499035658295</v>
      </c>
      <c r="K23" s="64">
        <f t="shared" si="1"/>
        <v>115.33489392241245</v>
      </c>
      <c r="L23" s="64">
        <f t="shared" si="2"/>
        <v>9.2267915137929961</v>
      </c>
      <c r="M23" s="64">
        <f t="shared" si="3"/>
        <v>124.56168543620544</v>
      </c>
    </row>
    <row r="24" spans="1:13">
      <c r="A24" s="5">
        <v>20</v>
      </c>
      <c r="B24" s="5">
        <v>1</v>
      </c>
      <c r="C24" s="60">
        <v>45346</v>
      </c>
      <c r="D24" s="67">
        <v>0.91666666666666696</v>
      </c>
      <c r="E24" s="75" t="s">
        <v>2271</v>
      </c>
      <c r="F24" s="64">
        <v>8.8536869409398502</v>
      </c>
      <c r="G24" s="65">
        <v>49.756345734834397</v>
      </c>
      <c r="H24" s="64"/>
      <c r="I24" s="64"/>
      <c r="J24" s="64">
        <f t="shared" si="4"/>
        <v>5.8610032675774253</v>
      </c>
      <c r="K24" s="64">
        <f t="shared" si="1"/>
        <v>64.47103594335168</v>
      </c>
      <c r="L24" s="64">
        <f t="shared" si="2"/>
        <v>5.1576828754681348</v>
      </c>
      <c r="M24" s="64">
        <f t="shared" si="3"/>
        <v>69.62871881881982</v>
      </c>
    </row>
    <row r="25" spans="1:13">
      <c r="A25" s="5">
        <v>21</v>
      </c>
      <c r="C25" s="60">
        <v>45347</v>
      </c>
      <c r="D25" s="67">
        <v>0.83333333333333304</v>
      </c>
      <c r="E25" s="75" t="s">
        <v>2271</v>
      </c>
      <c r="F25" s="64">
        <v>27.583685148494101</v>
      </c>
      <c r="G25" s="65">
        <v>33.810105490040598</v>
      </c>
      <c r="H25" s="64"/>
      <c r="I25" s="64"/>
      <c r="J25" s="64">
        <f t="shared" si="4"/>
        <v>6.13937906385347</v>
      </c>
      <c r="K25" s="64">
        <f t="shared" si="1"/>
        <v>67.533169702388165</v>
      </c>
      <c r="L25" s="64">
        <f t="shared" si="2"/>
        <v>5.402653576191053</v>
      </c>
      <c r="M25" s="64">
        <f t="shared" si="3"/>
        <v>72.935823278579221</v>
      </c>
    </row>
    <row r="26" spans="1:13">
      <c r="A26" s="5">
        <v>22</v>
      </c>
      <c r="C26" s="60">
        <v>45348</v>
      </c>
      <c r="D26" s="67">
        <v>0.8125</v>
      </c>
      <c r="E26" s="75" t="s">
        <v>2271</v>
      </c>
      <c r="F26" s="64">
        <v>30.965607568762898</v>
      </c>
      <c r="G26" s="65">
        <v>46.165213722558597</v>
      </c>
      <c r="H26" s="64"/>
      <c r="I26" s="64"/>
      <c r="J26" s="64">
        <f t="shared" si="4"/>
        <v>7.7130821291321503</v>
      </c>
      <c r="K26" s="64">
        <f t="shared" si="1"/>
        <v>84.843903420453643</v>
      </c>
      <c r="L26" s="64">
        <f t="shared" si="2"/>
        <v>6.7875122736362918</v>
      </c>
      <c r="M26" s="64">
        <f t="shared" si="3"/>
        <v>91.631415694089938</v>
      </c>
    </row>
    <row r="27" spans="1:13">
      <c r="A27" s="5">
        <v>23</v>
      </c>
      <c r="C27" s="60">
        <v>45349</v>
      </c>
      <c r="D27" s="67">
        <v>0.45833333333333331</v>
      </c>
      <c r="E27" s="75" t="s">
        <v>2271</v>
      </c>
      <c r="F27" s="64">
        <v>23.909049368465801</v>
      </c>
      <c r="G27" s="65">
        <v>18.173830725010099</v>
      </c>
      <c r="H27" s="64"/>
      <c r="I27" s="64"/>
      <c r="J27" s="64">
        <f t="shared" si="4"/>
        <v>4.2082880093475898</v>
      </c>
      <c r="K27" s="64">
        <f t="shared" si="1"/>
        <v>46.291168102823491</v>
      </c>
      <c r="L27" s="64">
        <f t="shared" si="2"/>
        <v>3.7032934482258795</v>
      </c>
      <c r="M27" s="64">
        <f t="shared" si="3"/>
        <v>49.994461551049369</v>
      </c>
    </row>
    <row r="28" spans="1:13">
      <c r="A28" s="5">
        <v>24</v>
      </c>
      <c r="C28" s="60">
        <v>45350</v>
      </c>
      <c r="D28" s="60"/>
      <c r="E28" s="75" t="s">
        <v>2271</v>
      </c>
      <c r="F28" s="64">
        <v>46.500792997960602</v>
      </c>
      <c r="G28" s="65">
        <v>35.676532629003397</v>
      </c>
      <c r="H28" s="64"/>
      <c r="I28" s="64"/>
      <c r="J28" s="64">
        <f t="shared" si="4"/>
        <v>8.2177325626964013</v>
      </c>
      <c r="K28" s="64">
        <f t="shared" si="1"/>
        <v>90.395058189660404</v>
      </c>
      <c r="L28" s="64">
        <f t="shared" si="2"/>
        <v>7.2316046551728324</v>
      </c>
      <c r="M28" s="64">
        <f t="shared" si="3"/>
        <v>97.626662844833234</v>
      </c>
    </row>
    <row r="29" spans="1:13">
      <c r="A29" s="5">
        <v>25</v>
      </c>
      <c r="C29" s="60">
        <v>45351</v>
      </c>
      <c r="D29" s="67">
        <v>0.875</v>
      </c>
      <c r="E29" s="75" t="s">
        <v>2271</v>
      </c>
      <c r="F29" s="64">
        <v>39.807751401530197</v>
      </c>
      <c r="G29" s="65">
        <v>38.376548407129299</v>
      </c>
      <c r="H29" s="64"/>
      <c r="I29" s="64"/>
      <c r="J29" s="64">
        <f t="shared" si="4"/>
        <v>7.8184299808659494</v>
      </c>
      <c r="K29" s="64">
        <f t="shared" si="1"/>
        <v>86.002729789525432</v>
      </c>
      <c r="L29" s="64">
        <f t="shared" si="2"/>
        <v>6.8802183831620347</v>
      </c>
      <c r="M29" s="64">
        <f t="shared" si="3"/>
        <v>92.882948172687463</v>
      </c>
    </row>
    <row r="30" spans="1:13">
      <c r="A30" s="5">
        <v>26</v>
      </c>
      <c r="C30" s="60">
        <v>45352</v>
      </c>
      <c r="D30" s="67">
        <v>0.91666666666666696</v>
      </c>
      <c r="E30" s="75" t="s">
        <v>2271</v>
      </c>
      <c r="F30" s="64">
        <v>6.2108030079057404</v>
      </c>
      <c r="G30" s="65">
        <v>24.070711865175198</v>
      </c>
      <c r="H30" s="64"/>
      <c r="I30" s="64"/>
      <c r="J30" s="64">
        <f t="shared" si="4"/>
        <v>3.0281514873080937</v>
      </c>
      <c r="K30" s="64">
        <f t="shared" si="1"/>
        <v>33.309666360389031</v>
      </c>
      <c r="L30" s="64">
        <f t="shared" si="2"/>
        <v>2.6647733088311223</v>
      </c>
      <c r="M30" s="64">
        <f t="shared" si="3"/>
        <v>35.974439669220153</v>
      </c>
    </row>
    <row r="31" spans="1:13">
      <c r="A31" s="5">
        <v>27</v>
      </c>
      <c r="C31" s="60">
        <v>45353</v>
      </c>
      <c r="D31" s="67">
        <v>0.83333333333333304</v>
      </c>
      <c r="E31" s="75" t="s">
        <v>2271</v>
      </c>
      <c r="F31" s="64">
        <v>30.394998331107299</v>
      </c>
      <c r="G31" s="65">
        <v>34.6875931925819</v>
      </c>
      <c r="H31" s="64"/>
      <c r="I31" s="64"/>
      <c r="J31" s="64">
        <f t="shared" si="4"/>
        <v>6.5082591523689208</v>
      </c>
      <c r="K31" s="64">
        <f t="shared" si="1"/>
        <v>71.590850676058125</v>
      </c>
      <c r="L31" s="64">
        <f t="shared" si="2"/>
        <v>5.7272680540846501</v>
      </c>
      <c r="M31" s="64">
        <f t="shared" si="3"/>
        <v>77.318118730142771</v>
      </c>
    </row>
    <row r="32" spans="1:13">
      <c r="A32" s="5">
        <v>28</v>
      </c>
      <c r="C32" s="60">
        <v>45354</v>
      </c>
      <c r="D32" s="67">
        <v>0.8125</v>
      </c>
      <c r="E32" s="75" t="s">
        <v>2271</v>
      </c>
      <c r="F32" s="64">
        <v>7.0665601993088796</v>
      </c>
      <c r="G32" s="65">
        <v>40.277673338687897</v>
      </c>
      <c r="H32" s="64"/>
      <c r="I32" s="64"/>
      <c r="J32" s="64">
        <f t="shared" si="4"/>
        <v>4.734423353799678</v>
      </c>
      <c r="K32" s="64">
        <f t="shared" si="1"/>
        <v>52.078656891796456</v>
      </c>
      <c r="L32" s="64">
        <f t="shared" si="2"/>
        <v>4.1662925513437168</v>
      </c>
      <c r="M32" s="64">
        <f t="shared" si="3"/>
        <v>56.244949443140172</v>
      </c>
    </row>
    <row r="33" spans="1:13">
      <c r="A33" s="5">
        <v>29</v>
      </c>
      <c r="C33" s="60">
        <v>45355</v>
      </c>
      <c r="D33" s="67">
        <v>0.45833333333333331</v>
      </c>
      <c r="E33" s="75" t="s">
        <v>2271</v>
      </c>
      <c r="F33" s="64">
        <v>11.737187465121901</v>
      </c>
      <c r="G33" s="65">
        <v>37.961133038287002</v>
      </c>
      <c r="H33" s="64"/>
      <c r="I33" s="64"/>
      <c r="J33" s="64">
        <f t="shared" si="4"/>
        <v>4.9698320503408908</v>
      </c>
      <c r="K33" s="64">
        <f t="shared" si="1"/>
        <v>54.668152553749792</v>
      </c>
      <c r="L33" s="64">
        <f t="shared" si="2"/>
        <v>4.3734522042999835</v>
      </c>
      <c r="M33" s="64">
        <f t="shared" si="3"/>
        <v>59.041604758049772</v>
      </c>
    </row>
    <row r="34" spans="1:13">
      <c r="A34" s="5">
        <v>30</v>
      </c>
      <c r="C34" s="60">
        <v>45356</v>
      </c>
      <c r="D34" s="60"/>
      <c r="E34" s="75" t="s">
        <v>2271</v>
      </c>
      <c r="F34" s="64">
        <v>27.304362429309201</v>
      </c>
      <c r="G34" s="65">
        <v>41.142016517042698</v>
      </c>
      <c r="H34" s="64"/>
      <c r="I34" s="64"/>
      <c r="J34" s="64">
        <f t="shared" si="4"/>
        <v>6.8446378946351905</v>
      </c>
      <c r="K34" s="64">
        <f t="shared" si="1"/>
        <v>75.291016840987083</v>
      </c>
      <c r="L34" s="64">
        <f t="shared" si="2"/>
        <v>6.0232813472789672</v>
      </c>
      <c r="M34" s="64">
        <f t="shared" si="3"/>
        <v>81.314298188266051</v>
      </c>
    </row>
    <row r="35" spans="1:13">
      <c r="A35" s="5">
        <v>31</v>
      </c>
      <c r="C35" s="60">
        <v>45357</v>
      </c>
      <c r="D35" s="67">
        <v>0.875</v>
      </c>
      <c r="E35" s="75" t="s">
        <v>2271</v>
      </c>
      <c r="F35" s="64">
        <v>21.117643993467802</v>
      </c>
      <c r="G35" s="65">
        <v>7.6814878268140303</v>
      </c>
      <c r="H35" s="64"/>
      <c r="I35" s="64"/>
      <c r="J35" s="64">
        <f t="shared" si="4"/>
        <v>2.8799131820281834</v>
      </c>
      <c r="K35" s="64">
        <f t="shared" si="1"/>
        <v>31.679045002310016</v>
      </c>
      <c r="L35" s="64">
        <f t="shared" si="2"/>
        <v>2.5343236001848015</v>
      </c>
      <c r="M35" s="64">
        <f t="shared" si="3"/>
        <v>34.213368602494818</v>
      </c>
    </row>
    <row r="36" spans="1:13">
      <c r="A36" s="5">
        <v>32</v>
      </c>
      <c r="C36" s="60">
        <v>45358</v>
      </c>
      <c r="D36" s="67">
        <v>0.91666666666666696</v>
      </c>
      <c r="E36" s="75" t="s">
        <v>2271</v>
      </c>
      <c r="F36" s="64">
        <v>45.803540846038203</v>
      </c>
      <c r="G36" s="65">
        <v>16.7209721965915</v>
      </c>
      <c r="H36" s="64"/>
      <c r="I36" s="64"/>
      <c r="J36" s="64">
        <f t="shared" si="4"/>
        <v>6.252451304262971</v>
      </c>
      <c r="K36" s="64">
        <f t="shared" si="1"/>
        <v>68.776964346892683</v>
      </c>
      <c r="L36" s="64">
        <f t="shared" si="2"/>
        <v>5.5021571477514151</v>
      </c>
      <c r="M36" s="64">
        <f t="shared" si="3"/>
        <v>74.279121494644102</v>
      </c>
    </row>
    <row r="37" spans="1:13">
      <c r="A37" s="5">
        <v>33</v>
      </c>
      <c r="C37" s="60">
        <v>45359</v>
      </c>
      <c r="D37" s="67">
        <v>0.83333333333333304</v>
      </c>
      <c r="E37" s="5" t="s">
        <v>2264</v>
      </c>
      <c r="F37" s="64">
        <v>19.481861503064401</v>
      </c>
      <c r="G37" s="65"/>
      <c r="H37" s="64">
        <v>15.421902895365999</v>
      </c>
      <c r="I37" s="64">
        <f t="shared" ref="I37:I70" si="5">(F37+G37+H37)*$I$2</f>
        <v>1.7451882199215198</v>
      </c>
      <c r="J37" s="64"/>
      <c r="K37" s="64">
        <f t="shared" si="1"/>
        <v>36.648952618351913</v>
      </c>
      <c r="L37" s="64">
        <f t="shared" si="2"/>
        <v>2.9319162094681532</v>
      </c>
      <c r="M37" s="64">
        <f t="shared" si="3"/>
        <v>39.580868827820069</v>
      </c>
    </row>
    <row r="38" spans="1:13">
      <c r="A38" s="5">
        <v>34</v>
      </c>
      <c r="C38" s="60">
        <v>45360</v>
      </c>
      <c r="D38" s="67">
        <v>0.8125</v>
      </c>
      <c r="E38" s="5" t="s">
        <v>2264</v>
      </c>
      <c r="F38" s="64">
        <v>27.969260358429398</v>
      </c>
      <c r="G38" s="65"/>
      <c r="H38" s="64">
        <v>26.225746555395901</v>
      </c>
      <c r="I38" s="64">
        <f t="shared" si="5"/>
        <v>2.709750345691265</v>
      </c>
      <c r="J38" s="64"/>
      <c r="K38" s="64">
        <f t="shared" si="1"/>
        <v>56.904757259516558</v>
      </c>
      <c r="L38" s="64">
        <f t="shared" si="2"/>
        <v>4.5523805807613247</v>
      </c>
      <c r="M38" s="64">
        <f t="shared" si="3"/>
        <v>61.457137840277881</v>
      </c>
    </row>
    <row r="39" spans="1:13">
      <c r="A39" s="5">
        <v>35</v>
      </c>
      <c r="C39" s="60">
        <v>45361</v>
      </c>
      <c r="D39" s="67">
        <v>0.45833333333333331</v>
      </c>
      <c r="E39" s="5" t="s">
        <v>2264</v>
      </c>
      <c r="F39" s="64">
        <v>15.1090524325136</v>
      </c>
      <c r="G39" s="65"/>
      <c r="H39" s="64">
        <v>23.405884116642799</v>
      </c>
      <c r="I39" s="64">
        <f t="shared" si="5"/>
        <v>1.9257468274578202</v>
      </c>
      <c r="J39" s="64"/>
      <c r="K39" s="64">
        <f t="shared" si="1"/>
        <v>40.440683376614224</v>
      </c>
      <c r="L39" s="64">
        <f t="shared" si="2"/>
        <v>3.2352546701291378</v>
      </c>
      <c r="M39" s="64">
        <f t="shared" si="3"/>
        <v>43.675938046743362</v>
      </c>
    </row>
    <row r="40" spans="1:13">
      <c r="A40" s="5">
        <v>36</v>
      </c>
      <c r="C40" s="60">
        <v>45362</v>
      </c>
      <c r="D40" s="60"/>
      <c r="E40" s="5" t="s">
        <v>2264</v>
      </c>
      <c r="F40" s="64">
        <v>45.495553126426998</v>
      </c>
      <c r="G40" s="65"/>
      <c r="H40" s="64">
        <v>13.595151298945099</v>
      </c>
      <c r="I40" s="64">
        <f t="shared" si="5"/>
        <v>2.9545352212686051</v>
      </c>
      <c r="J40" s="64"/>
      <c r="K40" s="64">
        <f t="shared" si="1"/>
        <v>62.045239646640702</v>
      </c>
      <c r="L40" s="64">
        <f t="shared" si="2"/>
        <v>4.9636191717312563</v>
      </c>
      <c r="M40" s="64">
        <f t="shared" si="3"/>
        <v>67.008858818371962</v>
      </c>
    </row>
    <row r="41" spans="1:13">
      <c r="A41" s="5">
        <v>37</v>
      </c>
      <c r="C41" s="60">
        <v>45363</v>
      </c>
      <c r="D41" s="67">
        <v>0.875</v>
      </c>
      <c r="E41" s="5" t="s">
        <v>2264</v>
      </c>
      <c r="F41" s="64">
        <v>12.4787888240946</v>
      </c>
      <c r="G41" s="65"/>
      <c r="H41" s="64">
        <v>10.2332330604254</v>
      </c>
      <c r="I41" s="64">
        <f t="shared" si="5"/>
        <v>1.135601094226</v>
      </c>
      <c r="J41" s="64"/>
      <c r="K41" s="64">
        <f t="shared" si="1"/>
        <v>23.847622978745999</v>
      </c>
      <c r="L41" s="64">
        <f t="shared" si="2"/>
        <v>1.90780983829968</v>
      </c>
      <c r="M41" s="64">
        <f t="shared" si="3"/>
        <v>25.75543281704568</v>
      </c>
    </row>
    <row r="42" spans="1:13">
      <c r="A42" s="5">
        <v>38</v>
      </c>
      <c r="C42" s="60">
        <v>45364</v>
      </c>
      <c r="D42" s="67">
        <v>0.91666666666666696</v>
      </c>
      <c r="E42" s="5" t="s">
        <v>2264</v>
      </c>
      <c r="F42" s="64">
        <v>18.850147564723301</v>
      </c>
      <c r="G42" s="65"/>
      <c r="H42" s="64">
        <v>17.214771109952501</v>
      </c>
      <c r="I42" s="64">
        <f t="shared" si="5"/>
        <v>1.8032459337337903</v>
      </c>
      <c r="J42" s="64"/>
      <c r="K42" s="64">
        <f t="shared" si="1"/>
        <v>37.868164608409593</v>
      </c>
      <c r="L42" s="64">
        <f t="shared" si="2"/>
        <v>3.0294531686727675</v>
      </c>
      <c r="M42" s="64">
        <f t="shared" si="3"/>
        <v>40.89761777708236</v>
      </c>
    </row>
    <row r="43" spans="1:13">
      <c r="A43" s="5">
        <v>39</v>
      </c>
      <c r="C43" s="60">
        <v>45365</v>
      </c>
      <c r="D43" s="67">
        <v>0.83333333333333304</v>
      </c>
      <c r="E43" s="5" t="s">
        <v>2264</v>
      </c>
      <c r="F43" s="64">
        <v>32.339376127718502</v>
      </c>
      <c r="G43" s="65"/>
      <c r="H43" s="64">
        <v>16.5618339536937</v>
      </c>
      <c r="I43" s="64">
        <f t="shared" si="5"/>
        <v>2.4450605040706104</v>
      </c>
      <c r="J43" s="64"/>
      <c r="K43" s="64">
        <f t="shared" si="1"/>
        <v>51.346270585482813</v>
      </c>
      <c r="L43" s="64">
        <f t="shared" si="2"/>
        <v>4.1077016468386249</v>
      </c>
      <c r="M43" s="64">
        <f t="shared" si="3"/>
        <v>55.453972232321441</v>
      </c>
    </row>
    <row r="44" spans="1:13">
      <c r="A44" s="5">
        <v>40</v>
      </c>
      <c r="C44" s="60">
        <v>45366</v>
      </c>
      <c r="D44" s="67">
        <v>0.8125</v>
      </c>
      <c r="E44" s="5" t="s">
        <v>2264</v>
      </c>
      <c r="F44" s="64">
        <v>33.441270036518603</v>
      </c>
      <c r="G44" s="65"/>
      <c r="H44" s="64">
        <v>21.547299614854801</v>
      </c>
      <c r="I44" s="64">
        <f t="shared" si="5"/>
        <v>2.7494284825686703</v>
      </c>
      <c r="J44" s="64"/>
      <c r="K44" s="64">
        <f t="shared" si="1"/>
        <v>57.737998133942071</v>
      </c>
      <c r="L44" s="64">
        <f t="shared" si="2"/>
        <v>4.6190398507153656</v>
      </c>
      <c r="M44" s="64">
        <f t="shared" si="3"/>
        <v>62.357037984657438</v>
      </c>
    </row>
    <row r="45" spans="1:13">
      <c r="A45" s="5">
        <v>41</v>
      </c>
      <c r="C45" s="60">
        <v>45367</v>
      </c>
      <c r="D45" s="67">
        <v>0.45833333333333331</v>
      </c>
      <c r="E45" s="5" t="s">
        <v>2264</v>
      </c>
      <c r="F45" s="64">
        <v>17.209876238166601</v>
      </c>
      <c r="G45" s="65">
        <v>12.613609454405299</v>
      </c>
      <c r="H45" s="64">
        <v>20.276896982286701</v>
      </c>
      <c r="I45" s="64">
        <f t="shared" si="5"/>
        <v>2.5050191337429304</v>
      </c>
      <c r="J45" s="64"/>
      <c r="K45" s="64">
        <f t="shared" si="1"/>
        <v>52.605401808601528</v>
      </c>
      <c r="L45" s="64">
        <f t="shared" si="2"/>
        <v>4.2084321446881221</v>
      </c>
      <c r="M45" s="64">
        <f t="shared" si="3"/>
        <v>56.813833953289652</v>
      </c>
    </row>
    <row r="46" spans="1:13">
      <c r="A46" s="5">
        <v>42</v>
      </c>
      <c r="C46" s="60">
        <v>45368</v>
      </c>
      <c r="D46" s="60"/>
      <c r="E46" s="5" t="s">
        <v>2264</v>
      </c>
      <c r="F46" s="64">
        <v>18.451346283863199</v>
      </c>
      <c r="G46" s="65">
        <v>20.966339404104598</v>
      </c>
      <c r="H46" s="64">
        <v>13.047248776087899</v>
      </c>
      <c r="I46" s="64">
        <f t="shared" si="5"/>
        <v>2.6232467232027847</v>
      </c>
      <c r="J46" s="64"/>
      <c r="K46" s="64">
        <f t="shared" si="1"/>
        <v>55.088181187258478</v>
      </c>
      <c r="L46" s="64">
        <f t="shared" si="2"/>
        <v>4.4070544949806782</v>
      </c>
      <c r="M46" s="64">
        <f t="shared" si="3"/>
        <v>59.495235682239155</v>
      </c>
    </row>
    <row r="47" spans="1:13">
      <c r="A47" s="5">
        <v>43</v>
      </c>
      <c r="C47" s="60">
        <v>45369</v>
      </c>
      <c r="D47" s="67">
        <v>0.875</v>
      </c>
      <c r="E47" s="5" t="s">
        <v>2264</v>
      </c>
      <c r="F47" s="64">
        <v>18.437844826352599</v>
      </c>
      <c r="G47" s="65">
        <v>52.536923571491897</v>
      </c>
      <c r="H47" s="64">
        <v>24.482207219017699</v>
      </c>
      <c r="I47" s="64">
        <f t="shared" si="5"/>
        <v>4.7728487808431099</v>
      </c>
      <c r="J47" s="64"/>
      <c r="K47" s="64">
        <f t="shared" si="1"/>
        <v>100.2298243977053</v>
      </c>
      <c r="L47" s="64">
        <f t="shared" si="2"/>
        <v>8.0183859518164233</v>
      </c>
      <c r="M47" s="64">
        <f t="shared" si="3"/>
        <v>108.24821034952173</v>
      </c>
    </row>
    <row r="48" spans="1:13">
      <c r="A48" s="5">
        <v>44</v>
      </c>
      <c r="C48" s="60">
        <v>45370</v>
      </c>
      <c r="D48" s="67">
        <v>0.91666666666666696</v>
      </c>
      <c r="E48" s="5" t="s">
        <v>2264</v>
      </c>
      <c r="F48" s="64">
        <v>35.855513761862397</v>
      </c>
      <c r="G48" s="65">
        <v>66.770455204795198</v>
      </c>
      <c r="H48" s="64">
        <v>15.514449203811999</v>
      </c>
      <c r="I48" s="64">
        <f t="shared" si="5"/>
        <v>5.9070209085234797</v>
      </c>
      <c r="J48" s="64"/>
      <c r="K48" s="64">
        <f t="shared" si="1"/>
        <v>124.04743907899307</v>
      </c>
      <c r="L48" s="64">
        <f t="shared" si="2"/>
        <v>9.9237951263194457</v>
      </c>
      <c r="M48" s="64">
        <f t="shared" si="3"/>
        <v>133.9712342053125</v>
      </c>
    </row>
    <row r="49" spans="1:13">
      <c r="A49" s="5">
        <v>45</v>
      </c>
      <c r="C49" s="60">
        <v>45371</v>
      </c>
      <c r="D49" s="67">
        <v>0.83333333333333304</v>
      </c>
      <c r="E49" s="5" t="s">
        <v>2264</v>
      </c>
      <c r="F49" s="64">
        <v>13.426998566838501</v>
      </c>
      <c r="G49" s="65">
        <v>64.518796437689204</v>
      </c>
      <c r="H49" s="64">
        <v>27.262124270746501</v>
      </c>
      <c r="I49" s="64">
        <f t="shared" si="5"/>
        <v>5.2603959637637105</v>
      </c>
      <c r="J49" s="64"/>
      <c r="K49" s="64">
        <f t="shared" si="1"/>
        <v>110.46831523903792</v>
      </c>
      <c r="L49" s="64">
        <f t="shared" si="2"/>
        <v>8.8374652191230343</v>
      </c>
      <c r="M49" s="64">
        <f t="shared" si="3"/>
        <v>119.30578045816095</v>
      </c>
    </row>
    <row r="50" spans="1:13">
      <c r="A50" s="5">
        <v>46</v>
      </c>
      <c r="C50" s="60">
        <v>45372</v>
      </c>
      <c r="D50" s="67">
        <v>0.8125</v>
      </c>
      <c r="E50" s="5" t="s">
        <v>2264</v>
      </c>
      <c r="F50" s="64">
        <v>21.333485973271401</v>
      </c>
      <c r="G50" s="65">
        <v>45.220563745178502</v>
      </c>
      <c r="H50" s="64">
        <v>8.8139350677720891</v>
      </c>
      <c r="I50" s="64">
        <f t="shared" si="5"/>
        <v>3.7683992393110999</v>
      </c>
      <c r="J50" s="64"/>
      <c r="K50" s="64">
        <f t="shared" si="1"/>
        <v>79.13638402553309</v>
      </c>
      <c r="L50" s="64">
        <f t="shared" si="2"/>
        <v>6.3309107220426473</v>
      </c>
      <c r="M50" s="64">
        <f t="shared" si="3"/>
        <v>85.467294747575735</v>
      </c>
    </row>
    <row r="51" spans="1:13">
      <c r="A51" s="5">
        <v>47</v>
      </c>
      <c r="C51" s="60">
        <v>45373</v>
      </c>
      <c r="D51" s="67">
        <v>0.45833333333333331</v>
      </c>
      <c r="E51" s="5" t="s">
        <v>2264</v>
      </c>
      <c r="F51" s="64">
        <v>11.973123715284901</v>
      </c>
      <c r="G51" s="65">
        <v>17.218237124136799</v>
      </c>
      <c r="H51" s="64">
        <v>22.597964497133699</v>
      </c>
      <c r="I51" s="64">
        <f t="shared" si="5"/>
        <v>2.5894662668277699</v>
      </c>
      <c r="J51" s="64"/>
      <c r="K51" s="64">
        <f t="shared" si="1"/>
        <v>54.378791603383164</v>
      </c>
      <c r="L51" s="64">
        <f t="shared" si="2"/>
        <v>4.3503033282706536</v>
      </c>
      <c r="M51" s="64">
        <f t="shared" si="3"/>
        <v>58.729094931653819</v>
      </c>
    </row>
    <row r="52" spans="1:13">
      <c r="A52" s="5">
        <v>48</v>
      </c>
      <c r="C52" s="60">
        <v>45374</v>
      </c>
      <c r="D52" s="60"/>
      <c r="E52" s="5" t="s">
        <v>2264</v>
      </c>
      <c r="F52" s="64">
        <v>35.380047845969003</v>
      </c>
      <c r="G52" s="65">
        <v>32.424286374975701</v>
      </c>
      <c r="H52" s="64">
        <v>22.850206271129</v>
      </c>
      <c r="I52" s="64">
        <f t="shared" si="5"/>
        <v>4.5327270246036848</v>
      </c>
      <c r="J52" s="64"/>
      <c r="K52" s="64">
        <f t="shared" si="1"/>
        <v>95.18726751667738</v>
      </c>
      <c r="L52" s="64">
        <f t="shared" si="2"/>
        <v>7.614981401334191</v>
      </c>
      <c r="M52" s="64">
        <f t="shared" si="3"/>
        <v>102.80224891801157</v>
      </c>
    </row>
    <row r="53" spans="1:13">
      <c r="A53" s="5">
        <v>49</v>
      </c>
      <c r="C53" s="60">
        <v>45375</v>
      </c>
      <c r="D53" s="67">
        <v>0.875</v>
      </c>
      <c r="E53" s="5" t="s">
        <v>2264</v>
      </c>
      <c r="F53" s="64">
        <v>40.323525822778898</v>
      </c>
      <c r="G53" s="65">
        <v>43.165839724542003</v>
      </c>
      <c r="H53" s="64">
        <v>17.862742440815602</v>
      </c>
      <c r="I53" s="64">
        <f t="shared" si="5"/>
        <v>5.0676053994068262</v>
      </c>
      <c r="J53" s="64"/>
      <c r="K53" s="64">
        <f t="shared" si="1"/>
        <v>106.41971338754334</v>
      </c>
      <c r="L53" s="64">
        <f t="shared" si="2"/>
        <v>8.5135770710034677</v>
      </c>
      <c r="M53" s="64">
        <f t="shared" si="3"/>
        <v>114.93329045854681</v>
      </c>
    </row>
    <row r="54" spans="1:13">
      <c r="A54" s="5">
        <v>50</v>
      </c>
      <c r="C54" s="60">
        <v>45376</v>
      </c>
      <c r="D54" s="67">
        <v>0.91666666666666696</v>
      </c>
      <c r="E54" s="5" t="s">
        <v>2264</v>
      </c>
      <c r="F54" s="64">
        <v>10.410471557358401</v>
      </c>
      <c r="G54" s="65">
        <v>43.406441901477002</v>
      </c>
      <c r="H54" s="64">
        <v>9.3786857018109995</v>
      </c>
      <c r="I54" s="64">
        <f t="shared" si="5"/>
        <v>3.1597799580323205</v>
      </c>
      <c r="J54" s="64"/>
      <c r="K54" s="64">
        <f t="shared" si="1"/>
        <v>66.355379118678727</v>
      </c>
      <c r="L54" s="64">
        <f t="shared" si="2"/>
        <v>5.3084303294942981</v>
      </c>
      <c r="M54" s="64">
        <f t="shared" si="3"/>
        <v>71.663809448173026</v>
      </c>
    </row>
    <row r="55" spans="1:13">
      <c r="A55" s="5">
        <v>51</v>
      </c>
      <c r="C55" s="60">
        <v>45377</v>
      </c>
      <c r="D55" s="67">
        <v>0.83333333333333304</v>
      </c>
      <c r="E55" s="5" t="s">
        <v>2264</v>
      </c>
      <c r="F55" s="64">
        <v>26.584827206125201</v>
      </c>
      <c r="G55" s="65">
        <v>10.290164372668301</v>
      </c>
      <c r="H55" s="64">
        <v>19.232229770065601</v>
      </c>
      <c r="I55" s="64">
        <f t="shared" si="5"/>
        <v>2.8053610674429552</v>
      </c>
      <c r="J55" s="64"/>
      <c r="K55" s="64">
        <f t="shared" si="1"/>
        <v>58.912582416302051</v>
      </c>
      <c r="L55" s="64">
        <f t="shared" si="2"/>
        <v>4.713006593304164</v>
      </c>
      <c r="M55" s="64">
        <f t="shared" si="3"/>
        <v>63.625589009606216</v>
      </c>
    </row>
    <row r="56" spans="1:13">
      <c r="A56" s="5">
        <v>52</v>
      </c>
      <c r="C56" s="60">
        <v>45378</v>
      </c>
      <c r="D56" s="67">
        <v>0.8125</v>
      </c>
      <c r="E56" s="5" t="s">
        <v>2264</v>
      </c>
      <c r="F56" s="64">
        <v>10.3885997699938</v>
      </c>
      <c r="G56" s="65">
        <v>49.378696512563302</v>
      </c>
      <c r="H56" s="64">
        <v>13.9136278983929</v>
      </c>
      <c r="I56" s="64">
        <f t="shared" si="5"/>
        <v>3.6840462090475001</v>
      </c>
      <c r="J56" s="64"/>
      <c r="K56" s="64">
        <f t="shared" si="1"/>
        <v>77.364970389997495</v>
      </c>
      <c r="L56" s="64">
        <f t="shared" si="2"/>
        <v>6.1891976311998</v>
      </c>
      <c r="M56" s="64">
        <f t="shared" si="3"/>
        <v>83.554168021197299</v>
      </c>
    </row>
    <row r="57" spans="1:13">
      <c r="A57" s="5">
        <v>53</v>
      </c>
      <c r="C57" s="60">
        <v>45379</v>
      </c>
      <c r="D57" s="67">
        <v>0.45833333333333331</v>
      </c>
      <c r="E57" s="5" t="s">
        <v>2264</v>
      </c>
      <c r="F57" s="64">
        <v>6.1004627982992004</v>
      </c>
      <c r="G57" s="65">
        <v>56.086238496984002</v>
      </c>
      <c r="H57" s="64"/>
      <c r="I57" s="64">
        <f t="shared" si="5"/>
        <v>3.10933506476416</v>
      </c>
      <c r="J57" s="64"/>
      <c r="K57" s="64">
        <f t="shared" si="1"/>
        <v>65.296036360047367</v>
      </c>
      <c r="L57" s="64">
        <f t="shared" si="2"/>
        <v>5.2236829088037897</v>
      </c>
      <c r="M57" s="64">
        <f t="shared" si="3"/>
        <v>70.519719268851162</v>
      </c>
    </row>
    <row r="58" spans="1:13">
      <c r="A58" s="5">
        <v>54</v>
      </c>
      <c r="C58" s="60">
        <v>45380</v>
      </c>
      <c r="D58" s="60"/>
      <c r="E58" s="5" t="s">
        <v>2264</v>
      </c>
      <c r="F58" s="64">
        <v>36.399721485487198</v>
      </c>
      <c r="G58" s="65">
        <v>28.529675015616402</v>
      </c>
      <c r="H58" s="64"/>
      <c r="I58" s="64">
        <f t="shared" si="5"/>
        <v>3.24646982505518</v>
      </c>
      <c r="J58" s="64"/>
      <c r="K58" s="64">
        <f t="shared" si="1"/>
        <v>68.175866326158783</v>
      </c>
      <c r="L58" s="64">
        <f t="shared" si="2"/>
        <v>5.4540693060927028</v>
      </c>
      <c r="M58" s="64">
        <f t="shared" si="3"/>
        <v>73.629935632251488</v>
      </c>
    </row>
    <row r="59" spans="1:13">
      <c r="A59" s="5">
        <v>55</v>
      </c>
      <c r="C59" s="60">
        <v>45381</v>
      </c>
      <c r="D59" s="67">
        <v>0.875</v>
      </c>
      <c r="E59" s="5" t="s">
        <v>2264</v>
      </c>
      <c r="F59" s="64">
        <v>34.856294033135001</v>
      </c>
      <c r="G59" s="65">
        <v>59.776112437872101</v>
      </c>
      <c r="H59" s="64"/>
      <c r="I59" s="64">
        <f t="shared" si="5"/>
        <v>4.7316203235503549</v>
      </c>
      <c r="J59" s="64"/>
      <c r="K59" s="64">
        <f t="shared" si="1"/>
        <v>99.364026794557461</v>
      </c>
      <c r="L59" s="64">
        <f t="shared" si="2"/>
        <v>7.9491221435645967</v>
      </c>
      <c r="M59" s="64">
        <f t="shared" si="3"/>
        <v>107.31314893812205</v>
      </c>
    </row>
    <row r="60" spans="1:13">
      <c r="A60" s="5">
        <v>56</v>
      </c>
      <c r="C60" s="60">
        <v>45382</v>
      </c>
      <c r="D60" s="67">
        <v>0.91666666666666696</v>
      </c>
      <c r="E60" s="5" t="s">
        <v>2264</v>
      </c>
      <c r="F60" s="64">
        <v>25.034343110129502</v>
      </c>
      <c r="G60" s="65">
        <v>4.6044285933895299</v>
      </c>
      <c r="H60" s="64"/>
      <c r="I60" s="64">
        <f t="shared" si="5"/>
        <v>1.4819385851759517</v>
      </c>
      <c r="J60" s="64"/>
      <c r="K60" s="64">
        <f t="shared" si="1"/>
        <v>31.120710288694987</v>
      </c>
      <c r="L60" s="64">
        <f t="shared" si="2"/>
        <v>2.4896568230955989</v>
      </c>
      <c r="M60" s="64">
        <f t="shared" si="3"/>
        <v>33.610367111790588</v>
      </c>
    </row>
    <row r="61" spans="1:13">
      <c r="A61" s="5">
        <v>57</v>
      </c>
      <c r="C61" s="60">
        <v>45383</v>
      </c>
      <c r="D61" s="67">
        <v>0.83333333333333304</v>
      </c>
      <c r="E61" s="5" t="s">
        <v>2264</v>
      </c>
      <c r="F61" s="64">
        <v>35.905033364084701</v>
      </c>
      <c r="G61" s="65">
        <v>13.275435337010199</v>
      </c>
      <c r="H61" s="64"/>
      <c r="I61" s="64">
        <f t="shared" si="5"/>
        <v>2.4590234350547453</v>
      </c>
      <c r="J61" s="64"/>
      <c r="K61" s="64">
        <f t="shared" si="1"/>
        <v>51.639492136149649</v>
      </c>
      <c r="L61" s="64">
        <f t="shared" si="2"/>
        <v>4.1311593708919716</v>
      </c>
      <c r="M61" s="64">
        <f t="shared" si="3"/>
        <v>55.77065150704162</v>
      </c>
    </row>
    <row r="62" spans="1:13">
      <c r="A62" s="5">
        <v>58</v>
      </c>
      <c r="C62" s="60">
        <v>45384</v>
      </c>
      <c r="D62" s="67">
        <v>0.8125</v>
      </c>
      <c r="E62" s="5" t="s">
        <v>2264</v>
      </c>
      <c r="F62" s="64">
        <v>19.367989357954102</v>
      </c>
      <c r="G62" s="65">
        <v>24.893973159956602</v>
      </c>
      <c r="H62" s="64"/>
      <c r="I62" s="64">
        <f t="shared" si="5"/>
        <v>2.2130981258955353</v>
      </c>
      <c r="J62" s="64"/>
      <c r="K62" s="64">
        <f t="shared" si="1"/>
        <v>46.475060643806238</v>
      </c>
      <c r="L62" s="64">
        <f t="shared" si="2"/>
        <v>3.718004851504499</v>
      </c>
      <c r="M62" s="64">
        <f t="shared" si="3"/>
        <v>50.193065495310734</v>
      </c>
    </row>
    <row r="63" spans="1:13">
      <c r="A63" s="5">
        <v>59</v>
      </c>
      <c r="C63" s="60">
        <v>45385</v>
      </c>
      <c r="D63" s="67">
        <v>0.45833333333333331</v>
      </c>
      <c r="E63" s="5" t="s">
        <v>2264</v>
      </c>
      <c r="F63" s="64">
        <v>47.298472916174099</v>
      </c>
      <c r="G63" s="65">
        <v>29.143788777452301</v>
      </c>
      <c r="H63" s="64"/>
      <c r="I63" s="64">
        <f t="shared" si="5"/>
        <v>3.8221130846813196</v>
      </c>
      <c r="J63" s="64"/>
      <c r="K63" s="64">
        <f t="shared" si="1"/>
        <v>80.264374778307712</v>
      </c>
      <c r="L63" s="64">
        <f t="shared" si="2"/>
        <v>6.421149982264617</v>
      </c>
      <c r="M63" s="64">
        <f t="shared" si="3"/>
        <v>86.685524760572335</v>
      </c>
    </row>
    <row r="64" spans="1:13">
      <c r="A64" s="5">
        <v>60</v>
      </c>
      <c r="C64" s="60">
        <v>45386</v>
      </c>
      <c r="D64" s="60"/>
      <c r="E64" s="5" t="s">
        <v>2264</v>
      </c>
      <c r="F64" s="64">
        <v>17.751555550580601</v>
      </c>
      <c r="G64" s="65">
        <v>52.253614555690497</v>
      </c>
      <c r="H64" s="64"/>
      <c r="I64" s="64">
        <f t="shared" si="5"/>
        <v>3.5002585053135551</v>
      </c>
      <c r="J64" s="64"/>
      <c r="K64" s="64">
        <f t="shared" si="1"/>
        <v>73.505428611584648</v>
      </c>
      <c r="L64" s="64">
        <f t="shared" si="2"/>
        <v>5.8804342889267716</v>
      </c>
      <c r="M64" s="64">
        <f t="shared" si="3"/>
        <v>79.385862900511427</v>
      </c>
    </row>
    <row r="65" spans="1:13">
      <c r="A65" s="5">
        <v>61</v>
      </c>
      <c r="C65" s="60">
        <v>45387</v>
      </c>
      <c r="D65" s="67">
        <v>0.875</v>
      </c>
      <c r="E65" s="5" t="s">
        <v>2264</v>
      </c>
      <c r="F65" s="64">
        <v>9.3948760457112002</v>
      </c>
      <c r="G65" s="65">
        <v>11.994019266672</v>
      </c>
      <c r="H65" s="64"/>
      <c r="I65" s="64">
        <f t="shared" si="5"/>
        <v>1.0694447656191599</v>
      </c>
      <c r="J65" s="64"/>
      <c r="K65" s="64">
        <f t="shared" si="1"/>
        <v>22.458340078002358</v>
      </c>
      <c r="L65" s="64">
        <f t="shared" si="2"/>
        <v>1.7966672062401887</v>
      </c>
      <c r="M65" s="64">
        <f t="shared" si="3"/>
        <v>24.255007284242545</v>
      </c>
    </row>
    <row r="66" spans="1:13">
      <c r="A66" s="5">
        <v>62</v>
      </c>
      <c r="C66" s="60">
        <v>45388</v>
      </c>
      <c r="D66" s="67">
        <v>0.91666666666666696</v>
      </c>
      <c r="E66" s="5" t="s">
        <v>2264</v>
      </c>
      <c r="F66" s="64">
        <v>32.215119023770697</v>
      </c>
      <c r="G66" s="65">
        <v>66.086675374518606</v>
      </c>
      <c r="H66" s="64"/>
      <c r="I66" s="64">
        <f t="shared" si="5"/>
        <v>4.9150897199144659</v>
      </c>
      <c r="J66" s="64"/>
      <c r="K66" s="64">
        <f t="shared" si="1"/>
        <v>103.21688411820377</v>
      </c>
      <c r="L66" s="64">
        <f t="shared" si="2"/>
        <v>8.2573507294563022</v>
      </c>
      <c r="M66" s="64">
        <f t="shared" si="3"/>
        <v>111.47423484766007</v>
      </c>
    </row>
    <row r="67" spans="1:13">
      <c r="A67" s="5">
        <v>63</v>
      </c>
      <c r="C67" s="60">
        <v>45389</v>
      </c>
      <c r="D67" s="67">
        <v>0.83333333333333304</v>
      </c>
      <c r="E67" s="5" t="s">
        <v>2264</v>
      </c>
      <c r="F67" s="64">
        <v>12.954954768450399</v>
      </c>
      <c r="G67" s="65">
        <v>58.898702342678</v>
      </c>
      <c r="H67" s="64"/>
      <c r="I67" s="64">
        <f t="shared" si="5"/>
        <v>3.5926828555564203</v>
      </c>
      <c r="J67" s="64"/>
      <c r="K67" s="64">
        <f t="shared" si="1"/>
        <v>75.446339966684818</v>
      </c>
      <c r="L67" s="64">
        <f t="shared" si="2"/>
        <v>6.0357071973347853</v>
      </c>
      <c r="M67" s="64">
        <f t="shared" si="3"/>
        <v>81.482047164019605</v>
      </c>
    </row>
    <row r="68" spans="1:13">
      <c r="A68" s="5">
        <v>64</v>
      </c>
      <c r="C68" s="60">
        <v>45390</v>
      </c>
      <c r="D68" s="67">
        <v>0.8125</v>
      </c>
      <c r="E68" s="5" t="s">
        <v>2264</v>
      </c>
      <c r="F68" s="64">
        <v>35.309066706714198</v>
      </c>
      <c r="G68" s="65">
        <v>46.337430389141197</v>
      </c>
      <c r="H68" s="64"/>
      <c r="I68" s="64">
        <f t="shared" si="5"/>
        <v>4.0823248547927697</v>
      </c>
      <c r="J68" s="64"/>
      <c r="K68" s="64">
        <f t="shared" si="1"/>
        <v>85.728821950648168</v>
      </c>
      <c r="L68" s="64">
        <f t="shared" si="2"/>
        <v>6.8583057560518537</v>
      </c>
      <c r="M68" s="64">
        <f t="shared" si="3"/>
        <v>92.587127706700016</v>
      </c>
    </row>
    <row r="69" spans="1:13">
      <c r="A69" s="5">
        <v>65</v>
      </c>
      <c r="C69" s="60">
        <v>45391</v>
      </c>
      <c r="D69" s="67">
        <v>0.45833333333333331</v>
      </c>
      <c r="E69" s="5" t="s">
        <v>2264</v>
      </c>
      <c r="F69" s="64">
        <v>19.016073327135501</v>
      </c>
      <c r="G69" s="65">
        <v>65.857263114924095</v>
      </c>
      <c r="H69" s="64"/>
      <c r="I69" s="64">
        <f t="shared" si="5"/>
        <v>4.2436668221029796</v>
      </c>
      <c r="J69" s="64"/>
      <c r="K69" s="64">
        <f t="shared" si="1"/>
        <v>89.117003264162577</v>
      </c>
      <c r="L69" s="64">
        <f t="shared" si="2"/>
        <v>7.129360261133006</v>
      </c>
      <c r="M69" s="64">
        <f t="shared" si="3"/>
        <v>96.246363525295578</v>
      </c>
    </row>
    <row r="70" spans="1:13">
      <c r="A70" s="5">
        <v>66</v>
      </c>
      <c r="C70" s="60">
        <v>45392</v>
      </c>
      <c r="D70" s="60"/>
      <c r="E70" s="5" t="s">
        <v>2264</v>
      </c>
      <c r="F70" s="64">
        <v>46.405938875541104</v>
      </c>
      <c r="G70" s="65">
        <v>3.2681495013997002</v>
      </c>
      <c r="H70" s="64"/>
      <c r="I70" s="64">
        <f t="shared" si="5"/>
        <v>2.4837044188470401</v>
      </c>
      <c r="J70" s="64"/>
      <c r="K70" s="64">
        <f t="shared" ref="K70:K115" si="6">SUM(F70:J70)</f>
        <v>52.157792795787842</v>
      </c>
      <c r="L70" s="64">
        <f t="shared" ref="L70:L115" si="7">K70*$L$2</f>
        <v>4.1726234236630271</v>
      </c>
      <c r="M70" s="64">
        <f t="shared" ref="M70:M115" si="8">K70+L70</f>
        <v>56.330416219450868</v>
      </c>
    </row>
    <row r="71" spans="1:13">
      <c r="A71" s="5">
        <v>67</v>
      </c>
      <c r="C71" s="60">
        <v>45393</v>
      </c>
      <c r="D71" s="67">
        <v>0.875</v>
      </c>
      <c r="E71" s="75" t="s">
        <v>2271</v>
      </c>
      <c r="F71" s="64">
        <v>23.9158519316058</v>
      </c>
      <c r="G71" s="65">
        <v>3.51912535478457</v>
      </c>
      <c r="H71" s="64"/>
      <c r="I71" s="64"/>
      <c r="J71" s="64">
        <f t="shared" ref="J71:J115" si="9">(F71+G71+H71)*$J$2</f>
        <v>2.7434977286390372</v>
      </c>
      <c r="K71" s="64">
        <f t="shared" si="6"/>
        <v>30.178475015029409</v>
      </c>
      <c r="L71" s="64">
        <f t="shared" si="7"/>
        <v>2.4142780012023528</v>
      </c>
      <c r="M71" s="64">
        <f t="shared" si="8"/>
        <v>32.592753016231761</v>
      </c>
    </row>
    <row r="72" spans="1:13">
      <c r="A72" s="5">
        <v>68</v>
      </c>
      <c r="C72" s="60">
        <v>45394</v>
      </c>
      <c r="D72" s="67">
        <v>0.91666666666666696</v>
      </c>
      <c r="E72" s="75" t="s">
        <v>2271</v>
      </c>
      <c r="F72" s="64">
        <v>24.7256520148003</v>
      </c>
      <c r="G72" s="65">
        <v>26.656478400794999</v>
      </c>
      <c r="H72" s="64"/>
      <c r="I72" s="64"/>
      <c r="J72" s="64">
        <f t="shared" si="9"/>
        <v>5.1382130415595304</v>
      </c>
      <c r="K72" s="64">
        <f t="shared" si="6"/>
        <v>56.52034345715483</v>
      </c>
      <c r="L72" s="64">
        <f t="shared" si="7"/>
        <v>4.5216274765723865</v>
      </c>
      <c r="M72" s="64">
        <f t="shared" si="8"/>
        <v>61.041970933727214</v>
      </c>
    </row>
    <row r="73" spans="1:13">
      <c r="A73" s="5">
        <v>69</v>
      </c>
      <c r="C73" s="60">
        <v>45395</v>
      </c>
      <c r="D73" s="67">
        <v>0.83333333333333304</v>
      </c>
      <c r="E73" s="75" t="s">
        <v>2271</v>
      </c>
      <c r="F73" s="64">
        <v>6.1704870762714901</v>
      </c>
      <c r="G73" s="65">
        <v>20.174228666976202</v>
      </c>
      <c r="H73" s="64"/>
      <c r="I73" s="64"/>
      <c r="J73" s="64">
        <f t="shared" si="9"/>
        <v>2.6344715743247691</v>
      </c>
      <c r="K73" s="64">
        <f t="shared" si="6"/>
        <v>28.97918731757246</v>
      </c>
      <c r="L73" s="64">
        <f t="shared" si="7"/>
        <v>2.3183349854057971</v>
      </c>
      <c r="M73" s="64">
        <f t="shared" si="8"/>
        <v>31.297522302978258</v>
      </c>
    </row>
    <row r="74" spans="1:13">
      <c r="A74" s="5">
        <v>70</v>
      </c>
      <c r="C74" s="60">
        <v>45396</v>
      </c>
      <c r="D74" s="67">
        <v>0.8125</v>
      </c>
      <c r="E74" s="75" t="s">
        <v>2271</v>
      </c>
      <c r="F74" s="64">
        <v>47.311858987379999</v>
      </c>
      <c r="G74" s="65">
        <v>19.721770020084701</v>
      </c>
      <c r="H74" s="64"/>
      <c r="I74" s="64"/>
      <c r="J74" s="64">
        <f t="shared" si="9"/>
        <v>6.7033629007464697</v>
      </c>
      <c r="K74" s="64">
        <f t="shared" si="6"/>
        <v>73.736991908211166</v>
      </c>
      <c r="L74" s="64">
        <f t="shared" si="7"/>
        <v>5.8989593526568935</v>
      </c>
      <c r="M74" s="64">
        <f t="shared" si="8"/>
        <v>79.635951260868055</v>
      </c>
    </row>
    <row r="75" spans="1:13">
      <c r="A75" s="5">
        <v>71</v>
      </c>
      <c r="C75" s="60">
        <v>45397</v>
      </c>
      <c r="D75" s="67">
        <v>0.45833333333333331</v>
      </c>
      <c r="E75" s="75" t="s">
        <v>2271</v>
      </c>
      <c r="F75" s="64">
        <v>43.009926041299103</v>
      </c>
      <c r="G75" s="65">
        <v>53.805192552332997</v>
      </c>
      <c r="H75" s="64"/>
      <c r="I75" s="64"/>
      <c r="J75" s="64">
        <f t="shared" si="9"/>
        <v>9.6815118593632103</v>
      </c>
      <c r="K75" s="64">
        <f t="shared" si="6"/>
        <v>106.4966304529953</v>
      </c>
      <c r="L75" s="64">
        <f t="shared" si="7"/>
        <v>8.5197304362396249</v>
      </c>
      <c r="M75" s="64">
        <f t="shared" si="8"/>
        <v>115.01636088923493</v>
      </c>
    </row>
    <row r="76" spans="1:13">
      <c r="A76" s="5">
        <v>72</v>
      </c>
      <c r="C76" s="60">
        <v>45398</v>
      </c>
      <c r="D76" s="60"/>
      <c r="E76" s="75" t="s">
        <v>2271</v>
      </c>
      <c r="F76" s="64">
        <v>28.0038826445574</v>
      </c>
      <c r="G76" s="65">
        <v>31.414521476691501</v>
      </c>
      <c r="H76" s="64"/>
      <c r="I76" s="64"/>
      <c r="J76" s="64">
        <f t="shared" si="9"/>
        <v>5.9418404121248898</v>
      </c>
      <c r="K76" s="64">
        <f t="shared" si="6"/>
        <v>65.360244533373788</v>
      </c>
      <c r="L76" s="64">
        <f t="shared" si="7"/>
        <v>5.2288195626699032</v>
      </c>
      <c r="M76" s="64">
        <f t="shared" si="8"/>
        <v>70.589064096043685</v>
      </c>
    </row>
    <row r="77" spans="1:13">
      <c r="A77" s="5">
        <v>73</v>
      </c>
      <c r="C77" s="60">
        <v>45399</v>
      </c>
      <c r="D77" s="67">
        <v>0.875</v>
      </c>
      <c r="E77" s="75" t="s">
        <v>2271</v>
      </c>
      <c r="F77" s="64">
        <v>24.758236029614299</v>
      </c>
      <c r="G77" s="65">
        <v>66.879348072064005</v>
      </c>
      <c r="H77" s="64"/>
      <c r="I77" s="64"/>
      <c r="J77" s="64">
        <f t="shared" si="9"/>
        <v>9.16375841016783</v>
      </c>
      <c r="K77" s="64">
        <f t="shared" si="6"/>
        <v>100.80134251184613</v>
      </c>
      <c r="L77" s="64">
        <f t="shared" si="7"/>
        <v>8.064107400947691</v>
      </c>
      <c r="M77" s="64">
        <f t="shared" si="8"/>
        <v>108.86544991279382</v>
      </c>
    </row>
    <row r="78" spans="1:13">
      <c r="A78" s="5">
        <v>74</v>
      </c>
      <c r="C78" s="60">
        <v>45400</v>
      </c>
      <c r="D78" s="67">
        <v>0.91666666666666696</v>
      </c>
      <c r="E78" s="75" t="s">
        <v>2271</v>
      </c>
      <c r="F78" s="64">
        <v>20.518746274024199</v>
      </c>
      <c r="G78" s="65">
        <v>59.692176003544802</v>
      </c>
      <c r="H78" s="64"/>
      <c r="I78" s="64"/>
      <c r="J78" s="64">
        <f t="shared" si="9"/>
        <v>8.0210922277569008</v>
      </c>
      <c r="K78" s="64">
        <f t="shared" si="6"/>
        <v>88.232014505325893</v>
      </c>
      <c r="L78" s="64">
        <f t="shared" si="7"/>
        <v>7.0585611604260716</v>
      </c>
      <c r="M78" s="64">
        <f t="shared" si="8"/>
        <v>95.290575665751959</v>
      </c>
    </row>
    <row r="79" spans="1:13">
      <c r="A79" s="5">
        <v>75</v>
      </c>
      <c r="C79" s="60">
        <v>45401</v>
      </c>
      <c r="D79" s="67">
        <v>0.83333333333333304</v>
      </c>
      <c r="E79" s="75" t="s">
        <v>2271</v>
      </c>
      <c r="F79" s="64">
        <v>24.854830829930101</v>
      </c>
      <c r="G79" s="65">
        <v>27.701212195796099</v>
      </c>
      <c r="H79" s="64"/>
      <c r="I79" s="64"/>
      <c r="J79" s="64">
        <f t="shared" si="9"/>
        <v>5.2556043025726202</v>
      </c>
      <c r="K79" s="64">
        <f t="shared" si="6"/>
        <v>57.811647328298818</v>
      </c>
      <c r="L79" s="64">
        <f t="shared" si="7"/>
        <v>4.6249317862639057</v>
      </c>
      <c r="M79" s="64">
        <f t="shared" si="8"/>
        <v>62.436579114562726</v>
      </c>
    </row>
    <row r="80" spans="1:13">
      <c r="A80" s="5">
        <v>76</v>
      </c>
      <c r="C80" s="60">
        <v>45402</v>
      </c>
      <c r="D80" s="67">
        <v>0.8125</v>
      </c>
      <c r="E80" s="75" t="s">
        <v>2271</v>
      </c>
      <c r="F80" s="64">
        <v>47.558084660659901</v>
      </c>
      <c r="G80" s="65">
        <v>3.2106672380782699</v>
      </c>
      <c r="H80" s="64"/>
      <c r="I80" s="64"/>
      <c r="J80" s="64">
        <f t="shared" si="9"/>
        <v>5.0768751898738174</v>
      </c>
      <c r="K80" s="64">
        <f t="shared" si="6"/>
        <v>55.845627088611991</v>
      </c>
      <c r="L80" s="64">
        <f t="shared" si="7"/>
        <v>4.4676501670889595</v>
      </c>
      <c r="M80" s="64">
        <f t="shared" si="8"/>
        <v>60.313277255700953</v>
      </c>
    </row>
    <row r="81" spans="1:13">
      <c r="A81" s="5">
        <v>77</v>
      </c>
      <c r="C81" s="60">
        <v>45403</v>
      </c>
      <c r="D81" s="67">
        <v>0.45833333333333331</v>
      </c>
      <c r="E81" s="75" t="s">
        <v>2271</v>
      </c>
      <c r="F81" s="64">
        <v>9.8361311155529503</v>
      </c>
      <c r="G81" s="65">
        <v>37.423152748547601</v>
      </c>
      <c r="H81" s="64"/>
      <c r="I81" s="64"/>
      <c r="J81" s="64">
        <f t="shared" si="9"/>
        <v>4.7259283864100556</v>
      </c>
      <c r="K81" s="64">
        <f t="shared" si="6"/>
        <v>51.985212250510607</v>
      </c>
      <c r="L81" s="64">
        <f t="shared" si="7"/>
        <v>4.1588169800408483</v>
      </c>
      <c r="M81" s="64">
        <f t="shared" si="8"/>
        <v>56.144029230551453</v>
      </c>
    </row>
    <row r="82" spans="1:13">
      <c r="A82" s="5">
        <v>78</v>
      </c>
      <c r="C82" s="60">
        <v>45404</v>
      </c>
      <c r="D82" s="60"/>
      <c r="E82" s="75" t="s">
        <v>2271</v>
      </c>
      <c r="F82" s="64">
        <v>25.818856122326999</v>
      </c>
      <c r="G82" s="65">
        <v>36.159757631485299</v>
      </c>
      <c r="H82" s="64"/>
      <c r="I82" s="64"/>
      <c r="J82" s="64">
        <f t="shared" si="9"/>
        <v>6.1978613753812297</v>
      </c>
      <c r="K82" s="64">
        <f t="shared" si="6"/>
        <v>68.176475129193534</v>
      </c>
      <c r="L82" s="64">
        <f t="shared" si="7"/>
        <v>5.4541180103354829</v>
      </c>
      <c r="M82" s="64">
        <f t="shared" si="8"/>
        <v>73.630593139529012</v>
      </c>
    </row>
    <row r="83" spans="1:13">
      <c r="A83" s="5">
        <v>79</v>
      </c>
      <c r="C83" s="60">
        <v>45405</v>
      </c>
      <c r="D83" s="67">
        <v>0.875</v>
      </c>
      <c r="E83" s="75" t="s">
        <v>2271</v>
      </c>
      <c r="F83" s="64">
        <v>39.401356399762598</v>
      </c>
      <c r="G83" s="65">
        <v>60.798308678392701</v>
      </c>
      <c r="H83" s="64"/>
      <c r="I83" s="64"/>
      <c r="J83" s="64">
        <f t="shared" si="9"/>
        <v>10.019966507815532</v>
      </c>
      <c r="K83" s="64">
        <f t="shared" si="6"/>
        <v>110.21963158597083</v>
      </c>
      <c r="L83" s="64">
        <f t="shared" si="7"/>
        <v>8.8175705268776667</v>
      </c>
      <c r="M83" s="64">
        <f t="shared" si="8"/>
        <v>119.03720211284849</v>
      </c>
    </row>
    <row r="84" spans="1:13">
      <c r="A84" s="5">
        <v>80</v>
      </c>
      <c r="C84" s="60">
        <v>45406</v>
      </c>
      <c r="D84" s="67">
        <v>0.91666666666666696</v>
      </c>
      <c r="E84" s="75" t="s">
        <v>2271</v>
      </c>
      <c r="F84" s="64">
        <v>38.550565976293903</v>
      </c>
      <c r="G84" s="65">
        <v>17.9322555928075</v>
      </c>
      <c r="H84" s="64"/>
      <c r="I84" s="64"/>
      <c r="J84" s="64">
        <f t="shared" si="9"/>
        <v>5.6482821569101409</v>
      </c>
      <c r="K84" s="64">
        <f t="shared" si="6"/>
        <v>62.131103726011546</v>
      </c>
      <c r="L84" s="64">
        <f t="shared" si="7"/>
        <v>4.970488298080924</v>
      </c>
      <c r="M84" s="64">
        <f t="shared" si="8"/>
        <v>67.101592024092469</v>
      </c>
    </row>
    <row r="85" spans="1:13">
      <c r="A85" s="5">
        <v>81</v>
      </c>
      <c r="C85" s="60">
        <v>45407</v>
      </c>
      <c r="D85" s="67">
        <v>0.83333333333333304</v>
      </c>
      <c r="E85" s="75" t="s">
        <v>2271</v>
      </c>
      <c r="F85" s="64">
        <v>40.033959924197703</v>
      </c>
      <c r="G85" s="65">
        <v>44.338869069735502</v>
      </c>
      <c r="H85" s="64"/>
      <c r="I85" s="64"/>
      <c r="J85" s="64">
        <f t="shared" si="9"/>
        <v>8.4372828993933222</v>
      </c>
      <c r="K85" s="64">
        <f t="shared" si="6"/>
        <v>92.810111893326535</v>
      </c>
      <c r="L85" s="64">
        <f t="shared" si="7"/>
        <v>7.4248089514661233</v>
      </c>
      <c r="M85" s="64">
        <f t="shared" si="8"/>
        <v>100.23492084479265</v>
      </c>
    </row>
    <row r="86" spans="1:13">
      <c r="A86" s="5">
        <v>82</v>
      </c>
      <c r="C86" s="60">
        <v>45408</v>
      </c>
      <c r="D86" s="67">
        <v>0.8125</v>
      </c>
      <c r="E86" s="75" t="s">
        <v>2271</v>
      </c>
      <c r="F86" s="64">
        <v>7.9534094084615301</v>
      </c>
      <c r="G86" s="65">
        <v>29.855765791940499</v>
      </c>
      <c r="H86" s="64"/>
      <c r="I86" s="64"/>
      <c r="J86" s="64">
        <f t="shared" si="9"/>
        <v>3.7809175200402034</v>
      </c>
      <c r="K86" s="64">
        <f t="shared" si="6"/>
        <v>41.590092720442236</v>
      </c>
      <c r="L86" s="64">
        <f t="shared" si="7"/>
        <v>3.3272074176353788</v>
      </c>
      <c r="M86" s="64">
        <f t="shared" si="8"/>
        <v>44.917300138077614</v>
      </c>
    </row>
    <row r="87" spans="1:13">
      <c r="A87" s="5">
        <v>83</v>
      </c>
      <c r="C87" s="60">
        <v>45409</v>
      </c>
      <c r="D87" s="67">
        <v>0.45833333333333331</v>
      </c>
      <c r="E87" s="75" t="s">
        <v>2271</v>
      </c>
      <c r="F87" s="64">
        <v>10.788921279093699</v>
      </c>
      <c r="G87" s="65">
        <v>14.767490255039499</v>
      </c>
      <c r="H87" s="64"/>
      <c r="I87" s="64"/>
      <c r="J87" s="64">
        <f t="shared" si="9"/>
        <v>2.5556411534133199</v>
      </c>
      <c r="K87" s="64">
        <f t="shared" si="6"/>
        <v>28.112052687546516</v>
      </c>
      <c r="L87" s="64">
        <f t="shared" si="7"/>
        <v>2.2489642150037215</v>
      </c>
      <c r="M87" s="64">
        <f t="shared" si="8"/>
        <v>30.361016902550237</v>
      </c>
    </row>
    <row r="88" spans="1:13">
      <c r="A88" s="5">
        <v>84</v>
      </c>
      <c r="C88" s="60">
        <v>45410</v>
      </c>
      <c r="D88" s="60"/>
      <c r="E88" s="75" t="s">
        <v>2271</v>
      </c>
      <c r="F88" s="64">
        <v>28.948398134043899</v>
      </c>
      <c r="G88" s="65">
        <v>54.4499255599479</v>
      </c>
      <c r="H88" s="64"/>
      <c r="I88" s="64"/>
      <c r="J88" s="64">
        <f t="shared" si="9"/>
        <v>8.3398323693991809</v>
      </c>
      <c r="K88" s="64">
        <f t="shared" si="6"/>
        <v>91.738156063390974</v>
      </c>
      <c r="L88" s="64">
        <f t="shared" si="7"/>
        <v>7.3390524850712779</v>
      </c>
      <c r="M88" s="64">
        <f t="shared" si="8"/>
        <v>99.077208548462252</v>
      </c>
    </row>
    <row r="89" spans="1:13">
      <c r="A89" s="5">
        <v>85</v>
      </c>
      <c r="C89" s="60">
        <v>45411</v>
      </c>
      <c r="D89" s="67">
        <v>0.875</v>
      </c>
      <c r="E89" s="75" t="s">
        <v>2271</v>
      </c>
      <c r="F89" s="64">
        <v>10.797698185282499</v>
      </c>
      <c r="G89" s="65">
        <v>25.579828841572098</v>
      </c>
      <c r="H89" s="64"/>
      <c r="I89" s="64"/>
      <c r="J89" s="64">
        <f t="shared" si="9"/>
        <v>3.6377527026854595</v>
      </c>
      <c r="K89" s="64">
        <f t="shared" si="6"/>
        <v>40.015279729540055</v>
      </c>
      <c r="L89" s="64">
        <f t="shared" si="7"/>
        <v>3.2012223783632043</v>
      </c>
      <c r="M89" s="64">
        <f t="shared" si="8"/>
        <v>43.21650210790326</v>
      </c>
    </row>
    <row r="90" spans="1:13">
      <c r="A90" s="5">
        <v>86</v>
      </c>
      <c r="C90" s="60">
        <v>45412</v>
      </c>
      <c r="D90" s="67">
        <v>0.91666666666666696</v>
      </c>
      <c r="E90" s="75" t="s">
        <v>2271</v>
      </c>
      <c r="F90" s="64">
        <v>46.333432091189302</v>
      </c>
      <c r="G90" s="65">
        <v>3.26586668732747</v>
      </c>
      <c r="H90" s="64"/>
      <c r="I90" s="64"/>
      <c r="J90" s="64">
        <f t="shared" si="9"/>
        <v>4.9599298778516774</v>
      </c>
      <c r="K90" s="64">
        <f t="shared" si="6"/>
        <v>54.559228656368447</v>
      </c>
      <c r="L90" s="64">
        <f t="shared" si="7"/>
        <v>4.3647382925094762</v>
      </c>
      <c r="M90" s="64">
        <f t="shared" si="8"/>
        <v>58.923966948877926</v>
      </c>
    </row>
    <row r="91" spans="1:13">
      <c r="A91" s="5">
        <v>87</v>
      </c>
      <c r="C91" s="60">
        <v>45413</v>
      </c>
      <c r="D91" s="67">
        <v>0.83333333333333304</v>
      </c>
      <c r="E91" s="75" t="s">
        <v>2271</v>
      </c>
      <c r="F91" s="64">
        <v>28.787256680543098</v>
      </c>
      <c r="G91" s="65">
        <v>33.049147787037903</v>
      </c>
      <c r="H91" s="64"/>
      <c r="I91" s="64"/>
      <c r="J91" s="64">
        <f t="shared" si="9"/>
        <v>6.1836404467581012</v>
      </c>
      <c r="K91" s="64">
        <f t="shared" si="6"/>
        <v>68.02004491433911</v>
      </c>
      <c r="L91" s="64">
        <f t="shared" si="7"/>
        <v>5.4416035931471285</v>
      </c>
      <c r="M91" s="64">
        <f t="shared" si="8"/>
        <v>73.461648507486245</v>
      </c>
    </row>
    <row r="92" spans="1:13">
      <c r="A92" s="5">
        <v>88</v>
      </c>
      <c r="C92" s="60">
        <v>45414</v>
      </c>
      <c r="D92" s="67">
        <v>0.8125</v>
      </c>
      <c r="E92" s="75" t="s">
        <v>2271</v>
      </c>
      <c r="F92" s="64">
        <v>46.244882030195598</v>
      </c>
      <c r="G92" s="65">
        <v>45.429476415308898</v>
      </c>
      <c r="H92" s="64"/>
      <c r="I92" s="64"/>
      <c r="J92" s="64">
        <f t="shared" si="9"/>
        <v>9.1674358445504502</v>
      </c>
      <c r="K92" s="64">
        <f t="shared" si="6"/>
        <v>100.84179429005495</v>
      </c>
      <c r="L92" s="64">
        <f t="shared" si="7"/>
        <v>8.0673435432043963</v>
      </c>
      <c r="M92" s="64">
        <f t="shared" si="8"/>
        <v>108.90913783325935</v>
      </c>
    </row>
    <row r="93" spans="1:13">
      <c r="A93" s="5">
        <v>89</v>
      </c>
      <c r="C93" s="60">
        <v>45415</v>
      </c>
      <c r="D93" s="67">
        <v>0.45833333333333331</v>
      </c>
      <c r="E93" s="75" t="s">
        <v>2271</v>
      </c>
      <c r="F93" s="64">
        <v>25.240344020113898</v>
      </c>
      <c r="G93" s="65">
        <v>13.7469790569829</v>
      </c>
      <c r="H93" s="64"/>
      <c r="I93" s="64"/>
      <c r="J93" s="64">
        <f t="shared" si="9"/>
        <v>3.8987323077096798</v>
      </c>
      <c r="K93" s="64">
        <f t="shared" si="6"/>
        <v>42.886055384806475</v>
      </c>
      <c r="L93" s="64">
        <f t="shared" si="7"/>
        <v>3.4308844307845181</v>
      </c>
      <c r="M93" s="64">
        <f t="shared" si="8"/>
        <v>46.316939815590992</v>
      </c>
    </row>
    <row r="94" spans="1:13">
      <c r="A94" s="5">
        <v>90</v>
      </c>
      <c r="C94" s="60">
        <v>45416</v>
      </c>
      <c r="D94" s="60"/>
      <c r="E94" s="75" t="s">
        <v>2271</v>
      </c>
      <c r="F94" s="64">
        <v>35.941660865307398</v>
      </c>
      <c r="G94" s="65">
        <v>32.505577082127701</v>
      </c>
      <c r="H94" s="64"/>
      <c r="I94" s="64"/>
      <c r="J94" s="64">
        <f t="shared" si="9"/>
        <v>6.8447237947435102</v>
      </c>
      <c r="K94" s="64">
        <f t="shared" si="6"/>
        <v>75.291961742178614</v>
      </c>
      <c r="L94" s="64">
        <f t="shared" si="7"/>
        <v>6.0233569393742892</v>
      </c>
      <c r="M94" s="64">
        <f t="shared" si="8"/>
        <v>81.31531868155291</v>
      </c>
    </row>
    <row r="95" spans="1:13">
      <c r="A95" s="5">
        <v>91</v>
      </c>
      <c r="C95" s="60">
        <v>45417</v>
      </c>
      <c r="D95" s="67">
        <v>0.875</v>
      </c>
      <c r="E95" s="75" t="s">
        <v>2271</v>
      </c>
      <c r="F95" s="64">
        <v>44.782536032998202</v>
      </c>
      <c r="G95" s="65">
        <v>40.063812322975799</v>
      </c>
      <c r="H95" s="64"/>
      <c r="I95" s="64"/>
      <c r="J95" s="64">
        <f t="shared" si="9"/>
        <v>8.4846348355974008</v>
      </c>
      <c r="K95" s="64">
        <f t="shared" si="6"/>
        <v>93.330983191571406</v>
      </c>
      <c r="L95" s="64">
        <f t="shared" si="7"/>
        <v>7.4664786553257123</v>
      </c>
      <c r="M95" s="64">
        <f t="shared" si="8"/>
        <v>100.79746184689712</v>
      </c>
    </row>
    <row r="96" spans="1:13">
      <c r="A96" s="5">
        <v>92</v>
      </c>
      <c r="C96" s="60">
        <v>45418</v>
      </c>
      <c r="D96" s="67">
        <v>0.91666666666666696</v>
      </c>
      <c r="E96" s="75" t="s">
        <v>2271</v>
      </c>
      <c r="F96" s="64">
        <v>12.9808931370835</v>
      </c>
      <c r="G96" s="65">
        <v>40.245187148174999</v>
      </c>
      <c r="H96" s="64"/>
      <c r="I96" s="64"/>
      <c r="J96" s="64">
        <f t="shared" si="9"/>
        <v>5.3226080285258499</v>
      </c>
      <c r="K96" s="64">
        <f t="shared" si="6"/>
        <v>58.548688313784346</v>
      </c>
      <c r="L96" s="64">
        <f t="shared" si="7"/>
        <v>4.6838950651027478</v>
      </c>
      <c r="M96" s="64">
        <f t="shared" si="8"/>
        <v>63.232583378887092</v>
      </c>
    </row>
    <row r="97" spans="1:13">
      <c r="A97" s="5">
        <v>93</v>
      </c>
      <c r="C97" s="60">
        <v>45419</v>
      </c>
      <c r="D97" s="67">
        <v>0.83333333333333304</v>
      </c>
      <c r="E97" s="75" t="s">
        <v>2271</v>
      </c>
      <c r="F97" s="64">
        <v>32.970393640682403</v>
      </c>
      <c r="G97" s="65">
        <v>46.742704482833503</v>
      </c>
      <c r="H97" s="64"/>
      <c r="I97" s="64"/>
      <c r="J97" s="64">
        <f t="shared" si="9"/>
        <v>7.9713098123515911</v>
      </c>
      <c r="K97" s="64">
        <f t="shared" si="6"/>
        <v>87.684407935867497</v>
      </c>
      <c r="L97" s="64">
        <f t="shared" si="7"/>
        <v>7.0147526348694003</v>
      </c>
      <c r="M97" s="64">
        <f t="shared" si="8"/>
        <v>94.699160570736893</v>
      </c>
    </row>
    <row r="98" spans="1:13">
      <c r="A98" s="5">
        <v>94</v>
      </c>
      <c r="C98" s="60">
        <v>45420</v>
      </c>
      <c r="D98" s="67">
        <v>0.8125</v>
      </c>
      <c r="E98" s="75" t="s">
        <v>2271</v>
      </c>
      <c r="F98" s="64">
        <v>32.474021287484803</v>
      </c>
      <c r="G98" s="65">
        <v>33.240601915217503</v>
      </c>
      <c r="H98" s="64"/>
      <c r="I98" s="64"/>
      <c r="J98" s="64">
        <f t="shared" si="9"/>
        <v>6.571462320270232</v>
      </c>
      <c r="K98" s="64">
        <f t="shared" si="6"/>
        <v>72.286085522972542</v>
      </c>
      <c r="L98" s="64">
        <f t="shared" si="7"/>
        <v>5.7828868418378034</v>
      </c>
      <c r="M98" s="64">
        <f t="shared" si="8"/>
        <v>78.06897236481035</v>
      </c>
    </row>
    <row r="99" spans="1:13">
      <c r="A99" s="5">
        <v>95</v>
      </c>
      <c r="C99" s="60">
        <v>45421</v>
      </c>
      <c r="D99" s="67">
        <v>0.45833333333333331</v>
      </c>
      <c r="E99" s="75" t="s">
        <v>2271</v>
      </c>
      <c r="F99" s="64">
        <v>38.105244879920598</v>
      </c>
      <c r="G99" s="65">
        <v>2.5093807314963499</v>
      </c>
      <c r="H99" s="64"/>
      <c r="I99" s="64"/>
      <c r="J99" s="64">
        <f t="shared" si="9"/>
        <v>4.0614625611416946</v>
      </c>
      <c r="K99" s="64">
        <f t="shared" si="6"/>
        <v>44.676088172558643</v>
      </c>
      <c r="L99" s="64">
        <f t="shared" si="7"/>
        <v>3.5740870538046914</v>
      </c>
      <c r="M99" s="64">
        <f t="shared" si="8"/>
        <v>48.250175226363332</v>
      </c>
    </row>
    <row r="100" spans="1:13">
      <c r="A100" s="5">
        <v>96</v>
      </c>
      <c r="C100" s="60">
        <v>45422</v>
      </c>
      <c r="D100" s="60"/>
      <c r="E100" s="75" t="s">
        <v>2271</v>
      </c>
      <c r="F100" s="64">
        <v>32.071497957139997</v>
      </c>
      <c r="G100" s="65">
        <v>10.9464809593622</v>
      </c>
      <c r="H100" s="64"/>
      <c r="I100" s="64"/>
      <c r="J100" s="64">
        <f t="shared" si="9"/>
        <v>4.30179789165022</v>
      </c>
      <c r="K100" s="64">
        <f t="shared" si="6"/>
        <v>47.319776808152412</v>
      </c>
      <c r="L100" s="64">
        <f t="shared" si="7"/>
        <v>3.7855821446521931</v>
      </c>
      <c r="M100" s="64">
        <f t="shared" si="8"/>
        <v>51.105358952804607</v>
      </c>
    </row>
    <row r="101" spans="1:13">
      <c r="A101" s="5">
        <v>97</v>
      </c>
      <c r="C101" s="60">
        <v>45423</v>
      </c>
      <c r="D101" s="67">
        <v>0.875</v>
      </c>
      <c r="E101" s="75" t="s">
        <v>2271</v>
      </c>
      <c r="F101" s="64">
        <v>12.889534121274</v>
      </c>
      <c r="G101" s="65">
        <v>8.4001038678546305</v>
      </c>
      <c r="H101" s="64"/>
      <c r="I101" s="64"/>
      <c r="J101" s="64">
        <f t="shared" si="9"/>
        <v>2.1289637989128631</v>
      </c>
      <c r="K101" s="64">
        <f t="shared" si="6"/>
        <v>23.418601788041492</v>
      </c>
      <c r="L101" s="64">
        <f t="shared" si="7"/>
        <v>1.8734881430433195</v>
      </c>
      <c r="M101" s="64">
        <f t="shared" si="8"/>
        <v>25.29208993108481</v>
      </c>
    </row>
    <row r="102" spans="1:13">
      <c r="A102" s="5">
        <v>98</v>
      </c>
      <c r="C102" s="60">
        <v>45424</v>
      </c>
      <c r="D102" s="67">
        <v>0.91666666666666696</v>
      </c>
      <c r="E102" s="75" t="s">
        <v>2271</v>
      </c>
      <c r="F102" s="64">
        <v>30.610787912704399</v>
      </c>
      <c r="G102" s="65">
        <v>24.864886098166799</v>
      </c>
      <c r="H102" s="64"/>
      <c r="I102" s="64"/>
      <c r="J102" s="64">
        <f t="shared" si="9"/>
        <v>5.5475674010871208</v>
      </c>
      <c r="K102" s="64">
        <f t="shared" si="6"/>
        <v>61.023241411958324</v>
      </c>
      <c r="L102" s="64">
        <f t="shared" si="7"/>
        <v>4.8818593129566663</v>
      </c>
      <c r="M102" s="64">
        <f t="shared" si="8"/>
        <v>65.905100724914988</v>
      </c>
    </row>
    <row r="103" spans="1:13">
      <c r="A103" s="5">
        <v>99</v>
      </c>
      <c r="C103" s="60">
        <v>45425</v>
      </c>
      <c r="D103" s="67">
        <v>0.83333333333333304</v>
      </c>
      <c r="E103" s="75" t="s">
        <v>2271</v>
      </c>
      <c r="F103" s="64">
        <v>42.528457678491399</v>
      </c>
      <c r="G103" s="65">
        <v>6.8232985532233101</v>
      </c>
      <c r="H103" s="64"/>
      <c r="I103" s="64"/>
      <c r="J103" s="64">
        <f t="shared" si="9"/>
        <v>4.935175623171471</v>
      </c>
      <c r="K103" s="64">
        <f t="shared" si="6"/>
        <v>54.286931854886177</v>
      </c>
      <c r="L103" s="64">
        <f t="shared" si="7"/>
        <v>4.3429545483908942</v>
      </c>
      <c r="M103" s="64">
        <f t="shared" si="8"/>
        <v>58.629886403277069</v>
      </c>
    </row>
    <row r="104" spans="1:13">
      <c r="A104" s="5">
        <v>100</v>
      </c>
      <c r="C104" s="60">
        <v>45426</v>
      </c>
      <c r="D104" s="67">
        <v>0.8125</v>
      </c>
      <c r="E104" s="75" t="s">
        <v>2271</v>
      </c>
      <c r="F104" s="64">
        <v>47.462226386765202</v>
      </c>
      <c r="G104" s="65">
        <v>64.415229623369996</v>
      </c>
      <c r="H104" s="64"/>
      <c r="I104" s="64"/>
      <c r="J104" s="64">
        <f t="shared" si="9"/>
        <v>11.187745601013521</v>
      </c>
      <c r="K104" s="64">
        <f t="shared" si="6"/>
        <v>123.06520161114872</v>
      </c>
      <c r="L104" s="64">
        <f t="shared" si="7"/>
        <v>9.8452161288918987</v>
      </c>
      <c r="M104" s="64">
        <f t="shared" si="8"/>
        <v>132.91041774004063</v>
      </c>
    </row>
    <row r="105" spans="1:13">
      <c r="A105" s="5">
        <v>101</v>
      </c>
      <c r="C105" s="60">
        <v>45427</v>
      </c>
      <c r="D105" s="67">
        <v>0.45833333333333331</v>
      </c>
      <c r="E105" s="75" t="s">
        <v>2271</v>
      </c>
      <c r="F105" s="64">
        <v>31.710592307254501</v>
      </c>
      <c r="G105" s="65">
        <v>2.5465464812677499</v>
      </c>
      <c r="H105" s="64"/>
      <c r="I105" s="64"/>
      <c r="J105" s="64">
        <f t="shared" si="9"/>
        <v>3.4257138788522248</v>
      </c>
      <c r="K105" s="64">
        <f t="shared" si="6"/>
        <v>37.682852667374476</v>
      </c>
      <c r="L105" s="64">
        <f t="shared" si="7"/>
        <v>3.0146282133899582</v>
      </c>
      <c r="M105" s="64">
        <f t="shared" si="8"/>
        <v>40.697480880764431</v>
      </c>
    </row>
    <row r="106" spans="1:13">
      <c r="A106" s="5">
        <v>102</v>
      </c>
      <c r="C106" s="60">
        <v>45428</v>
      </c>
      <c r="D106" s="60"/>
      <c r="E106" s="75" t="s">
        <v>2271</v>
      </c>
      <c r="F106" s="64">
        <v>45.045647812743702</v>
      </c>
      <c r="G106" s="65">
        <v>65.290526273105598</v>
      </c>
      <c r="H106" s="64"/>
      <c r="I106" s="64"/>
      <c r="J106" s="64">
        <f t="shared" si="9"/>
        <v>11.033617408584931</v>
      </c>
      <c r="K106" s="64">
        <f t="shared" si="6"/>
        <v>121.36979149443424</v>
      </c>
      <c r="L106" s="64">
        <f t="shared" si="7"/>
        <v>9.7095833195547385</v>
      </c>
      <c r="M106" s="64">
        <f t="shared" si="8"/>
        <v>131.07937481398898</v>
      </c>
    </row>
    <row r="107" spans="1:13">
      <c r="A107" s="5">
        <v>103</v>
      </c>
      <c r="C107" s="60">
        <v>45429</v>
      </c>
      <c r="D107" s="67">
        <v>0.875</v>
      </c>
      <c r="E107" s="75" t="s">
        <v>2271</v>
      </c>
      <c r="F107" s="64">
        <v>33.313197847247999</v>
      </c>
      <c r="G107" s="65">
        <v>63.6382766774068</v>
      </c>
      <c r="H107" s="64"/>
      <c r="I107" s="64"/>
      <c r="J107" s="64">
        <f t="shared" si="9"/>
        <v>9.6951474524654806</v>
      </c>
      <c r="K107" s="64">
        <f t="shared" si="6"/>
        <v>106.64662197712028</v>
      </c>
      <c r="L107" s="64">
        <f t="shared" si="7"/>
        <v>8.5317297581696216</v>
      </c>
      <c r="M107" s="64">
        <f t="shared" si="8"/>
        <v>115.17835173528989</v>
      </c>
    </row>
    <row r="108" spans="1:13">
      <c r="A108" s="5">
        <v>104</v>
      </c>
      <c r="C108" s="60">
        <v>45430</v>
      </c>
      <c r="D108" s="67">
        <v>0.91666666666666696</v>
      </c>
      <c r="E108" s="75" t="s">
        <v>2271</v>
      </c>
      <c r="F108" s="64">
        <v>9.6580138666730306</v>
      </c>
      <c r="G108" s="65">
        <v>25.164108588277699</v>
      </c>
      <c r="H108" s="64"/>
      <c r="I108" s="64"/>
      <c r="J108" s="64">
        <f t="shared" si="9"/>
        <v>3.4822122454950732</v>
      </c>
      <c r="K108" s="64">
        <f t="shared" si="6"/>
        <v>38.3043347004458</v>
      </c>
      <c r="L108" s="64">
        <f t="shared" si="7"/>
        <v>3.0643467760356642</v>
      </c>
      <c r="M108" s="64">
        <f t="shared" si="8"/>
        <v>41.368681476481463</v>
      </c>
    </row>
    <row r="109" spans="1:13">
      <c r="A109" s="5">
        <v>105</v>
      </c>
      <c r="C109" s="60">
        <v>45431</v>
      </c>
      <c r="D109" s="67">
        <v>0.83333333333333304</v>
      </c>
      <c r="E109" s="75" t="s">
        <v>2271</v>
      </c>
      <c r="F109" s="64">
        <v>18.040307918380101</v>
      </c>
      <c r="G109" s="65">
        <v>35.943364471880699</v>
      </c>
      <c r="H109" s="64"/>
      <c r="I109" s="64"/>
      <c r="J109" s="64">
        <f t="shared" si="9"/>
        <v>5.3983672390260802</v>
      </c>
      <c r="K109" s="64">
        <f t="shared" si="6"/>
        <v>59.382039629286879</v>
      </c>
      <c r="L109" s="64">
        <f t="shared" si="7"/>
        <v>4.7505631703429501</v>
      </c>
      <c r="M109" s="64">
        <f t="shared" si="8"/>
        <v>64.132602799629836</v>
      </c>
    </row>
    <row r="110" spans="1:13">
      <c r="A110" s="5">
        <v>106</v>
      </c>
      <c r="C110" s="60">
        <v>45432</v>
      </c>
      <c r="D110" s="67">
        <v>0.8125</v>
      </c>
      <c r="E110" s="75" t="s">
        <v>2271</v>
      </c>
      <c r="F110" s="64">
        <v>21.156511678450901</v>
      </c>
      <c r="G110" s="65">
        <v>4.4544105704520698</v>
      </c>
      <c r="H110" s="64"/>
      <c r="I110" s="64"/>
      <c r="J110" s="64">
        <f t="shared" si="9"/>
        <v>2.561092224890297</v>
      </c>
      <c r="K110" s="64">
        <f t="shared" si="6"/>
        <v>28.172014473793269</v>
      </c>
      <c r="L110" s="64">
        <f t="shared" si="7"/>
        <v>2.2537611579034613</v>
      </c>
      <c r="M110" s="64">
        <f t="shared" si="8"/>
        <v>30.42577563169673</v>
      </c>
    </row>
    <row r="111" spans="1:13">
      <c r="A111" s="5">
        <v>107</v>
      </c>
      <c r="C111" s="60">
        <v>45433</v>
      </c>
      <c r="D111" s="67">
        <v>0.45833333333333331</v>
      </c>
      <c r="E111" s="75" t="s">
        <v>2271</v>
      </c>
      <c r="F111" s="64">
        <v>47.588292154475802</v>
      </c>
      <c r="G111" s="65">
        <v>62.162075545898098</v>
      </c>
      <c r="H111" s="64"/>
      <c r="I111" s="64"/>
      <c r="J111" s="64">
        <f t="shared" si="9"/>
        <v>10.975036770037391</v>
      </c>
      <c r="K111" s="64">
        <f t="shared" si="6"/>
        <v>120.72540447041129</v>
      </c>
      <c r="L111" s="64">
        <f t="shared" si="7"/>
        <v>9.6580323576329032</v>
      </c>
      <c r="M111" s="64">
        <f t="shared" si="8"/>
        <v>130.38343682804418</v>
      </c>
    </row>
    <row r="112" spans="1:13">
      <c r="A112" s="5">
        <v>108</v>
      </c>
      <c r="C112" s="60">
        <v>45434</v>
      </c>
      <c r="D112" s="60"/>
      <c r="E112" s="75" t="s">
        <v>2271</v>
      </c>
      <c r="F112" s="64">
        <v>18.139422348853198</v>
      </c>
      <c r="G112" s="65">
        <v>63.090138107590697</v>
      </c>
      <c r="H112" s="64"/>
      <c r="I112" s="64"/>
      <c r="J112" s="64">
        <f t="shared" si="9"/>
        <v>8.1229560456443899</v>
      </c>
      <c r="K112" s="64">
        <f t="shared" si="6"/>
        <v>89.352516502088278</v>
      </c>
      <c r="L112" s="64">
        <f t="shared" si="7"/>
        <v>7.148201320167062</v>
      </c>
      <c r="M112" s="64">
        <f t="shared" si="8"/>
        <v>96.500717822255339</v>
      </c>
    </row>
    <row r="113" spans="1:13">
      <c r="A113" s="5">
        <v>109</v>
      </c>
      <c r="C113" s="60">
        <v>45435</v>
      </c>
      <c r="D113" s="67">
        <v>0.875</v>
      </c>
      <c r="E113" s="75" t="s">
        <v>2271</v>
      </c>
      <c r="F113" s="64">
        <v>29.3613423876381</v>
      </c>
      <c r="G113" s="65">
        <v>10.359053755343201</v>
      </c>
      <c r="H113" s="64"/>
      <c r="I113" s="64"/>
      <c r="J113" s="64">
        <f t="shared" si="9"/>
        <v>3.9720396142981302</v>
      </c>
      <c r="K113" s="64">
        <f t="shared" si="6"/>
        <v>43.692435757279434</v>
      </c>
      <c r="L113" s="64">
        <f t="shared" si="7"/>
        <v>3.4953948605823548</v>
      </c>
      <c r="M113" s="64">
        <f t="shared" si="8"/>
        <v>47.187830617861792</v>
      </c>
    </row>
    <row r="114" spans="1:13">
      <c r="A114" s="5">
        <v>110</v>
      </c>
      <c r="C114" s="60">
        <v>45436</v>
      </c>
      <c r="D114" s="67">
        <v>0.91666666666666696</v>
      </c>
      <c r="E114" s="75" t="s">
        <v>2271</v>
      </c>
      <c r="F114" s="64">
        <v>36.308680833741001</v>
      </c>
      <c r="G114" s="65">
        <v>17.035583773240699</v>
      </c>
      <c r="H114" s="64"/>
      <c r="I114" s="64"/>
      <c r="J114" s="64">
        <f t="shared" si="9"/>
        <v>5.3344264606981699</v>
      </c>
      <c r="K114" s="64">
        <f t="shared" si="6"/>
        <v>58.678691067679864</v>
      </c>
      <c r="L114" s="64">
        <f t="shared" si="7"/>
        <v>4.6942952854143893</v>
      </c>
      <c r="M114" s="64">
        <f t="shared" si="8"/>
        <v>63.372986353094255</v>
      </c>
    </row>
    <row r="115" spans="1:13">
      <c r="A115" s="5">
        <v>111</v>
      </c>
      <c r="C115" s="60">
        <v>45437</v>
      </c>
      <c r="D115" s="67">
        <v>0.83333333333333304</v>
      </c>
      <c r="E115" s="75" t="s">
        <v>2271</v>
      </c>
      <c r="F115" s="64">
        <v>19.5595138884185</v>
      </c>
      <c r="G115" s="65">
        <v>3.5054436263671902</v>
      </c>
      <c r="H115" s="64"/>
      <c r="I115" s="64"/>
      <c r="J115" s="64">
        <f t="shared" si="9"/>
        <v>2.3064957514785691</v>
      </c>
      <c r="K115" s="64">
        <f t="shared" si="6"/>
        <v>25.371453266264258</v>
      </c>
      <c r="L115" s="64">
        <f t="shared" si="7"/>
        <v>2.0297162613011408</v>
      </c>
      <c r="M115" s="64">
        <f t="shared" si="8"/>
        <v>27.401169527565397</v>
      </c>
    </row>
  </sheetData>
  <autoFilter ref="A4:M115" xr:uid="{DD4A449D-C749-475E-827D-4D56DCEA5407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63198D-792D-4B53-B960-E93276E3F5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Clients</vt:lpstr>
      <vt:lpstr>Sheet2</vt:lpstr>
      <vt:lpstr>Restaurants</vt:lpstr>
      <vt:lpstr>Subscriptions</vt:lpstr>
      <vt:lpstr>Users</vt:lpstr>
      <vt:lpstr>Cash_Up</vt:lpstr>
      <vt:lpstr>Roles</vt:lpstr>
      <vt:lpstr>Departments</vt:lpstr>
      <vt:lpstr>Countries</vt:lpstr>
      <vt:lpstr>Currencies</vt:lpstr>
      <vt:lpstr>primary_contact</vt:lpstr>
      <vt:lpstr>TaxInfo</vt:lpstr>
      <vt:lpstr>Sales</vt:lpstr>
      <vt:lpstr>Expenses</vt:lpstr>
      <vt:lpstr>Cashup_Note</vt:lpstr>
      <vt:lpstr>Banking_Info</vt:lpstr>
      <vt:lpstr>CashnPDQ</vt:lpstr>
      <vt:lpstr>Wage_Advance</vt:lpstr>
      <vt:lpstr>pdqmachines</vt:lpstr>
      <vt:lpstr>Deliveries</vt:lpstr>
      <vt:lpstr>Orders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Gazala Fathima</cp:lastModifiedBy>
  <cp:revision/>
  <dcterms:created xsi:type="dcterms:W3CDTF">2021-09-23T11:31:00Z</dcterms:created>
  <dcterms:modified xsi:type="dcterms:W3CDTF">2026-06-16T17:54:46Z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A33F27F3A64C4B02B0B7ADE9751F782D_12</vt:lpwstr>
  </property>
  <property fmtid="{D5CDD505-2E9C-101B-9397-08002B2CF9AE}" pid="3" name="KSOProductBuildVer">
    <vt:lpwstr>1033-12.2.0.17153</vt:lpwstr>
  </property>
</Properties>
</file>